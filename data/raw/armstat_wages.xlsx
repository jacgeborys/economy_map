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rgaryan Gohar\Desktop\աշխատանքներ կատարվող 2026\Շարքեր\Շարքեր-6\"/>
    </mc:Choice>
  </mc:AlternateContent>
  <xr:revisionPtr revIDLastSave="0" documentId="13_ncr:1_{004BF1FB-3A06-42A1-B57B-D7A47B0E8F20}" xr6:coauthVersionLast="47" xr6:coauthVersionMax="47" xr10:uidLastSave="{00000000-0000-0000-0000-000000000000}"/>
  <bookViews>
    <workbookView xWindow="-120" yWindow="-120" windowWidth="29040" windowHeight="15720" tabRatio="848" xr2:uid="{00000000-000D-0000-FFFF-FFFF00000000}"/>
  </bookViews>
  <sheets>
    <sheet name="1980-2025" sheetId="15" r:id="rId1"/>
    <sheet name="AMD_USD_EUR_RR" sheetId="16" r:id="rId2"/>
    <sheet name="Public No pub" sheetId="24" r:id="rId3"/>
    <sheet name="Women , Men" sheetId="23" r:id="rId4"/>
    <sheet name="ըստ կազմ. չափի" sheetId="10" state="hidden" r:id="rId5"/>
  </sheets>
  <definedNames>
    <definedName name="_ftn2" localSheetId="0">'1980-2025'!#REF!</definedName>
    <definedName name="_ftnref2" localSheetId="0">'1980-2025'!$B$56</definedName>
    <definedName name="_Hlk122527384" localSheetId="0">'1980-2025'!#REF!</definedName>
    <definedName name="_Hlk90385594" localSheetId="4">'ըստ կազմ. չափի'!#REF!</definedName>
    <definedName name="_Hlk90385614" localSheetId="4">'ըստ կազմ. չափի'!$C$2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2" i="10" l="1"/>
  <c r="S22" i="10"/>
  <c r="T22" i="10"/>
  <c r="U22" i="10"/>
  <c r="V22" i="10"/>
  <c r="W22" i="10"/>
  <c r="R23" i="10"/>
  <c r="S23" i="10"/>
  <c r="T23" i="10"/>
  <c r="U23" i="10"/>
  <c r="V23" i="10"/>
  <c r="W23" i="10"/>
  <c r="S21" i="10"/>
  <c r="T21" i="10"/>
  <c r="U21" i="10"/>
  <c r="V21" i="10"/>
  <c r="W21" i="10"/>
  <c r="R21" i="10"/>
  <c r="R8" i="10"/>
  <c r="S8" i="10"/>
  <c r="T8" i="10"/>
  <c r="U8" i="10"/>
  <c r="R9" i="10"/>
  <c r="S9" i="10"/>
  <c r="T9" i="10"/>
  <c r="U9" i="10"/>
  <c r="R10" i="10"/>
  <c r="S10" i="10"/>
  <c r="T10" i="10"/>
  <c r="U10" i="10"/>
  <c r="U6" i="10"/>
  <c r="S6" i="10"/>
  <c r="T6" i="10"/>
  <c r="R6" i="10"/>
</calcChain>
</file>

<file path=xl/sharedStrings.xml><?xml version="1.0" encoding="utf-8"?>
<sst xmlns="http://schemas.openxmlformats.org/spreadsheetml/2006/main" count="259" uniqueCount="149">
  <si>
    <t>Ընդամենը</t>
  </si>
  <si>
    <t>ըստ սեռի</t>
  </si>
  <si>
    <t>պետական</t>
  </si>
  <si>
    <t>դրամ</t>
  </si>
  <si>
    <t>Պետական</t>
  </si>
  <si>
    <t>Ոչ պետական</t>
  </si>
  <si>
    <t>գերփոքր</t>
  </si>
  <si>
    <t>փոքր</t>
  </si>
  <si>
    <t>միջին և խոշոր</t>
  </si>
  <si>
    <t>ըստ տարիքային խմբերի</t>
  </si>
  <si>
    <t>15-29 երիտասարդներ</t>
  </si>
  <si>
    <t>30 - 62</t>
  </si>
  <si>
    <t>63 &gt;</t>
  </si>
  <si>
    <t xml:space="preserve">Միջին ամսական անվանական աշխատավարձն ըստ կազմակերպության չափի և աշխատողների տարիքային խմբերի             </t>
  </si>
  <si>
    <t>ըստ կազմակերպության չափի</t>
  </si>
  <si>
    <t>ոչ պետական</t>
  </si>
  <si>
    <t>Տղամարդ</t>
  </si>
  <si>
    <t>Կին</t>
  </si>
  <si>
    <r>
      <t>այդ թվում՝</t>
    </r>
    <r>
      <rPr>
        <sz val="10"/>
        <color theme="1"/>
        <rFont val="GHEA Grapalat"/>
        <family val="3"/>
      </rPr>
      <t xml:space="preserve"> </t>
    </r>
    <r>
      <rPr>
        <i/>
        <sz val="10"/>
        <color theme="1"/>
        <rFont val="GHEA Grapalat"/>
        <family val="3"/>
      </rPr>
      <t xml:space="preserve">
</t>
    </r>
    <r>
      <rPr>
        <b/>
        <sz val="10"/>
        <color theme="1"/>
        <rFont val="GHEA Grapalat"/>
        <family val="3"/>
      </rPr>
      <t>տնտեսության հատված</t>
    </r>
  </si>
  <si>
    <t xml:space="preserve">այդ թվում՝
կազմակերպության չափ </t>
  </si>
  <si>
    <t>Միջին ամսական անվանական աշխատավարձն ըստ սեռի, պետական-ոչ պետական 
հատվածների և կազմակերպության չափի</t>
  </si>
  <si>
    <t>Սեպտեմբեր /  September, 2022</t>
  </si>
  <si>
    <t>%, 2023/2022</t>
  </si>
  <si>
    <t>…</t>
  </si>
  <si>
    <t>113 163</t>
  </si>
  <si>
    <t>Իրական
աշխատավարձի ինդեքսը, %</t>
  </si>
  <si>
    <r>
      <t xml:space="preserve">2012 </t>
    </r>
    <r>
      <rPr>
        <b/>
        <vertAlign val="superscript"/>
        <sz val="11"/>
        <rFont val="GHEA Grapalat"/>
        <family val="3"/>
      </rPr>
      <t>2</t>
    </r>
  </si>
  <si>
    <t>177 817</t>
  </si>
  <si>
    <t xml:space="preserve"> …</t>
  </si>
  <si>
    <t>172 727</t>
  </si>
  <si>
    <r>
      <t>Միջին ամսական անվանական աշխատավարձը</t>
    </r>
    <r>
      <rPr>
        <vertAlign val="superscript"/>
        <sz val="9"/>
        <color theme="1"/>
        <rFont val="GHEA Grapalat"/>
        <family val="3"/>
      </rPr>
      <t>1</t>
    </r>
  </si>
  <si>
    <t>Դրամ</t>
  </si>
  <si>
    <t>ԱՄՆ դոլար</t>
  </si>
  <si>
    <t>Եվրո</t>
  </si>
  <si>
    <t>ՌՌ</t>
  </si>
  <si>
    <t>96 019 </t>
  </si>
  <si>
    <t>189 </t>
  </si>
  <si>
    <t xml:space="preserve">113 163  </t>
  </si>
  <si>
    <t>140 739</t>
  </si>
  <si>
    <t xml:space="preserve">8 745  </t>
  </si>
  <si>
    <t xml:space="preserve">177 817  </t>
  </si>
  <si>
    <t xml:space="preserve">21 475 </t>
  </si>
  <si>
    <r>
      <t xml:space="preserve"> 2017 </t>
    </r>
    <r>
      <rPr>
        <b/>
        <vertAlign val="superscript"/>
        <sz val="9"/>
        <color theme="1"/>
        <rFont val="GHEA Grapalat"/>
        <family val="3"/>
      </rPr>
      <t>3</t>
    </r>
  </si>
  <si>
    <r>
      <t xml:space="preserve"> 2012 </t>
    </r>
    <r>
      <rPr>
        <vertAlign val="superscript"/>
        <sz val="11"/>
        <color theme="10"/>
        <rFont val="GHEA Grapalat"/>
        <family val="3"/>
      </rPr>
      <t>2</t>
    </r>
  </si>
  <si>
    <t>Սեպտեմբեր, 2023</t>
  </si>
  <si>
    <t>ըստ կազմակեր-պության չափի</t>
  </si>
  <si>
    <r>
      <t xml:space="preserve">Միջին ամսական անվանական աշխատավարձն ըստ կազմակերպության չափի և աշխատողների տարիքային խմբերի   
</t>
    </r>
    <r>
      <rPr>
        <b/>
        <sz val="12"/>
        <color rgb="FFC00000"/>
        <rFont val="GHEA Grapalat"/>
        <family val="3"/>
      </rPr>
      <t xml:space="preserve">Սեպտեմբեր, 2023 </t>
    </r>
    <r>
      <rPr>
        <b/>
        <sz val="11"/>
        <color theme="7" tint="-0.499984740745262"/>
        <rFont val="GHEA Grapalat"/>
        <family val="3"/>
      </rPr>
      <t xml:space="preserve">         </t>
    </r>
  </si>
  <si>
    <t>15-29</t>
  </si>
  <si>
    <t>Նախորդ տարվա նկատմամբ, %</t>
  </si>
  <si>
    <t>Սպառողական գների ինդեքսը, %</t>
  </si>
  <si>
    <r>
      <t>Օրենքով սահմանված նվազագույն աշխատավարձը</t>
    </r>
    <r>
      <rPr>
        <vertAlign val="superscript"/>
        <sz val="9"/>
        <color theme="1"/>
        <rFont val="GHEA Grapalat"/>
        <family val="3"/>
      </rPr>
      <t>1</t>
    </r>
  </si>
  <si>
    <t>To the previous year, %</t>
  </si>
  <si>
    <t>Consumer Price
 Index, % (CPI)</t>
  </si>
  <si>
    <t>Размер установленной минимальной заработной платы¹</t>
  </si>
  <si>
    <t>Среднемесячная номинальная заработная плата¹</t>
  </si>
  <si>
    <t>Индекс потребительских цен (ИПЦ), %</t>
  </si>
  <si>
    <t>Индекс реальной заработной платы, %</t>
  </si>
  <si>
    <t>К предыдущему году, %</t>
  </si>
  <si>
    <t>&lt; 01.04.1991</t>
  </si>
  <si>
    <t>&gt; 01.04.1991</t>
  </si>
  <si>
    <t>01.01.1992</t>
  </si>
  <si>
    <t>01.01.1993</t>
  </si>
  <si>
    <t>01.04.1992</t>
  </si>
  <si>
    <t>01.04.1993</t>
  </si>
  <si>
    <t>01.06.1992</t>
  </si>
  <si>
    <t>01.06.1993</t>
  </si>
  <si>
    <t>01.10.1992</t>
  </si>
  <si>
    <t>01.01.1994</t>
  </si>
  <si>
    <t>01.04.1994</t>
  </si>
  <si>
    <t>01.06.1994</t>
  </si>
  <si>
    <t>01.10.1993</t>
  </si>
  <si>
    <t>01.04.1995</t>
  </si>
  <si>
    <t>01.06.1995</t>
  </si>
  <si>
    <t>01.10.1994</t>
  </si>
  <si>
    <t>01.01.1996</t>
  </si>
  <si>
    <t>01.09.1996</t>
  </si>
  <si>
    <t>01.01.2013</t>
  </si>
  <si>
    <t>01.07.2013</t>
  </si>
  <si>
    <t>01.01.2014</t>
  </si>
  <si>
    <t>01.07.2014</t>
  </si>
  <si>
    <t>01.01.2015</t>
  </si>
  <si>
    <t>01.07.2015</t>
  </si>
  <si>
    <t>From 1980 to 1993, the monetary unit was the ruble; from 1994 onwards, it is the dram.</t>
  </si>
  <si>
    <r>
      <rPr>
        <vertAlign val="superscript"/>
        <sz val="11"/>
        <color theme="1"/>
        <rFont val="Calibri"/>
        <family val="2"/>
        <scheme val="minor"/>
      </rPr>
      <t xml:space="preserve">1 </t>
    </r>
    <r>
      <rPr>
        <sz val="11"/>
        <color theme="1"/>
        <rFont val="Calibri"/>
        <family val="2"/>
        <scheme val="minor"/>
      </rPr>
      <t>1980 по 1993 год денежной единицей был рубль; с 1994 года – драм."</t>
    </r>
  </si>
  <si>
    <r>
      <t xml:space="preserve">166 004 </t>
    </r>
    <r>
      <rPr>
        <vertAlign val="superscript"/>
        <sz val="10"/>
        <color theme="10"/>
        <rFont val="GHEA Grapalat"/>
        <family val="3"/>
      </rPr>
      <t>3</t>
    </r>
  </si>
  <si>
    <t>1980-1993թթ. դրամական միավորը` ռուբլի, 1994թ. -ից`դրամ:</t>
  </si>
  <si>
    <r>
      <rPr>
        <b/>
        <sz val="9"/>
        <rFont val="GHEA Grapalat"/>
        <family val="3"/>
      </rPr>
      <t>Ժամանակային շարքի խզում</t>
    </r>
    <r>
      <rPr>
        <sz val="9"/>
        <rFont val="GHEA Grapalat"/>
        <family val="3"/>
      </rPr>
      <t xml:space="preserve">. 2012-2013թթ. աշխատավարձի ցուցանիշների համադրելիությունն ապահովելու նպատակով 2012թ. ցուցանիշները զուգահեռաբար վերահաշվարկվել է ըստ 01.01.2013թ. -ից ուժի մեջ մտած «Եկամտային հարկի մասին» ՀՀ օրենքի (ՀՕ-246)՝ գործատուի կողմից վճարվող պարտադիր սոցիալական ապահովության վճարի հաշվարկային (պայմանականորեն) դրույքաչափերը կիրառելու մեթոդով:  </t>
    </r>
  </si>
  <si>
    <r>
      <rPr>
        <b/>
        <sz val="9"/>
        <rFont val="GHEA Grapalat"/>
        <family val="3"/>
      </rPr>
      <t>Ժամանակային շարքի խզում.</t>
    </r>
    <r>
      <rPr>
        <sz val="9"/>
        <rFont val="GHEA Grapalat"/>
        <family val="3"/>
      </rPr>
      <t xml:space="preserve"> 2018թ.-ից միջին աշխատավարձի ցուցանիշի հաշվարկման տվյալների աղբյուրը ՀՀ ՊԵԿ Եկամտային հարկի և սոցիալական վճարի անձնավորված հաշվառման տվյալների բազան է: 2017-2018թթ. աշխատավարձի ցուցանիշների համադրելիության նպատակով ներկայացվում են նաև 2017թ. ցուցանիշներն ըստ ՀՀ ՊԵԿ-ի տվյալների բազայի:</t>
    </r>
  </si>
  <si>
    <r>
      <rPr>
        <vertAlign val="superscript"/>
        <sz val="10"/>
        <color theme="1"/>
        <rFont val="Calibri"/>
        <family val="2"/>
        <scheme val="minor"/>
      </rPr>
      <t>2</t>
    </r>
    <r>
      <rPr>
        <b/>
        <sz val="10"/>
        <color theme="1"/>
        <rFont val="Calibri"/>
        <family val="2"/>
        <scheme val="minor"/>
      </rPr>
      <t xml:space="preserve"> Разрыв в временных рядах:</t>
    </r>
    <r>
      <rPr>
        <sz val="10"/>
        <color theme="1"/>
        <rFont val="Calibri"/>
        <family val="2"/>
        <scheme val="minor"/>
      </rPr>
      <t xml:space="preserve"> Для обеспечения сопоставимости показателей заработной платы за 2012–2013 годы, показатели за 2012 год были пересчитаны параллельно на основе "Закона о подоходном налоге Республики Армения", вступившего в силу с 1 января 2013 года, с использованием метода расчетных (условных) ставок обязательных социальных взносов работодателя.</t>
    </r>
  </si>
  <si>
    <r>
      <rPr>
        <vertAlign val="superscript"/>
        <sz val="10"/>
        <color theme="1"/>
        <rFont val="Calibri"/>
        <family val="2"/>
        <scheme val="minor"/>
      </rPr>
      <t>3</t>
    </r>
    <r>
      <rPr>
        <sz val="10"/>
        <color theme="1"/>
        <rFont val="Calibri"/>
        <family val="2"/>
        <scheme val="minor"/>
      </rPr>
      <t xml:space="preserve"> </t>
    </r>
    <r>
      <rPr>
        <b/>
        <sz val="10"/>
        <color theme="1"/>
        <rFont val="Calibri"/>
        <family val="2"/>
        <scheme val="minor"/>
      </rPr>
      <t>Разрыв в временных рядах:</t>
    </r>
    <r>
      <rPr>
        <sz val="10"/>
        <color theme="1"/>
        <rFont val="Calibri"/>
        <family val="2"/>
        <scheme val="minor"/>
      </rPr>
      <t xml:space="preserve"> С 2018 года источником данных для расчета показателя средней заработной платы является база данных персонализированного учета подоходного налога и социальных взносов Комитета государственных доходов РА. В целях обеспечения сопоставимости показателей заработной платы за 2017-2018 годы также представлены данные за 2017 год по базе данных Комитета государственных доходов РА.</t>
    </r>
  </si>
  <si>
    <r>
      <rPr>
        <b/>
        <sz val="10"/>
        <color theme="1"/>
        <rFont val="Calibri"/>
        <family val="2"/>
        <scheme val="minor"/>
      </rPr>
      <t xml:space="preserve">Break in the time series: </t>
    </r>
    <r>
      <rPr>
        <sz val="10"/>
        <color theme="1"/>
        <rFont val="Calibri"/>
        <family val="2"/>
        <scheme val="minor"/>
      </rPr>
      <t>To ensure the comparability of wage indicators for 2012–2013, the 2012 indicators were recalculated in parallel based on the "Income Tax Law of the Republic of Armenia", effective from January 1, 2013, using the calculation method of the employer's mandatory social security contribution rates (conditionally).</t>
    </r>
  </si>
  <si>
    <r>
      <rPr>
        <b/>
        <sz val="10"/>
        <color theme="1"/>
        <rFont val="Calibri"/>
        <family val="2"/>
        <scheme val="minor"/>
      </rPr>
      <t>Break in the time series:</t>
    </r>
    <r>
      <rPr>
        <sz val="10"/>
        <color theme="1"/>
        <rFont val="Calibri"/>
        <family val="2"/>
        <scheme val="minor"/>
      </rPr>
      <t xml:space="preserve"> Since 2018, the source of data for calculating the average salary indicator is the personal accounting database of income tax and social contributions of the RA State Revenue Committee. For the purpose of ensuring the comparability of salary indicators for 2017-2018, the 2017 data according to the RA State Revenue Committee database are also presented.</t>
    </r>
  </si>
  <si>
    <r>
      <t>Amount statutory minimum wages</t>
    </r>
    <r>
      <rPr>
        <vertAlign val="superscript"/>
        <sz val="10.5"/>
        <color rgb="FF000000"/>
        <rFont val="Calibri Light"/>
        <family val="2"/>
        <scheme val="major"/>
      </rPr>
      <t>1</t>
    </r>
    <r>
      <rPr>
        <vertAlign val="superscript"/>
        <sz val="10.5"/>
        <color theme="1"/>
        <rFont val="Calibri Light"/>
        <family val="2"/>
        <scheme val="major"/>
      </rPr>
      <t xml:space="preserve"> </t>
    </r>
  </si>
  <si>
    <r>
      <t>Average monthly nominal wages</t>
    </r>
    <r>
      <rPr>
        <i/>
        <vertAlign val="superscript"/>
        <sz val="10.5"/>
        <color rgb="FF000000"/>
        <rFont val="Times New Roman"/>
        <family val="1"/>
      </rPr>
      <t>1</t>
    </r>
  </si>
  <si>
    <r>
      <t>Real wage index,</t>
    </r>
    <r>
      <rPr>
        <i/>
        <sz val="10.5"/>
        <color rgb="FF000000"/>
        <rFont val="Times New Roman"/>
        <family val="1"/>
      </rPr>
      <t xml:space="preserve"> %</t>
    </r>
  </si>
  <si>
    <t>1980 по 1993 год денежной единицей был рубль; с 1994 года – драм."</t>
  </si>
  <si>
    <r>
      <rPr>
        <b/>
        <sz val="11"/>
        <color theme="1"/>
        <rFont val="Calibri"/>
        <family val="2"/>
        <scheme val="minor"/>
      </rPr>
      <t>Разрыв в временных рядах:</t>
    </r>
    <r>
      <rPr>
        <sz val="11"/>
        <color theme="1"/>
        <rFont val="Calibri"/>
        <family val="2"/>
        <scheme val="minor"/>
      </rPr>
      <t xml:space="preserve"> Для обеспечения сопоставимости показателей заработной платы за 2012–2013 годы, показатели за 2012 год были пересчитаны параллельно на основе "Закона о подоходном налоге Республики Армения", вступившего в силу с 1 января 2013 года, с использованием метода расчетных (условных) ставок обязательных социальных взносов работодателя.</t>
    </r>
  </si>
  <si>
    <r>
      <rPr>
        <b/>
        <sz val="11"/>
        <color theme="1"/>
        <rFont val="Calibri"/>
        <family val="2"/>
        <scheme val="minor"/>
      </rPr>
      <t>Разрыв в временных рядах.</t>
    </r>
    <r>
      <rPr>
        <sz val="11"/>
        <color theme="1"/>
        <rFont val="Calibri"/>
        <family val="2"/>
        <scheme val="minor"/>
      </rPr>
      <t xml:space="preserve"> С 2018 года источником данных для расчета показателя средней заработной платы является база данных персонализированного учета подоходного налога и социальных взносов Комитета государственных доходов РА. В целях обеспечения сопоставимости показателей заработной платы за 2017-2018 годы также представлены данные за 2017 год по базе данных Комитета государственных доходов РА.</t>
    </r>
  </si>
  <si>
    <t xml:space="preserve">ՀՀ աշխատավարձի ցուցանիշների ժամանակագրական շարքեր </t>
  </si>
  <si>
    <t xml:space="preserve">Time Series of Wage and Salary Indicators of RA </t>
  </si>
  <si>
    <t>Временные ряды показателей заработной платы РА</t>
  </si>
  <si>
    <r>
      <t xml:space="preserve">Average Monthly Nominal Wages/Salaries by Currency Rates </t>
    </r>
    <r>
      <rPr>
        <b/>
        <vertAlign val="superscript"/>
        <sz val="13"/>
        <color rgb="FFC00000"/>
        <rFont val="Calibri Light"/>
        <family val="2"/>
        <scheme val="major"/>
      </rPr>
      <t>1</t>
    </r>
  </si>
  <si>
    <r>
      <t xml:space="preserve">Միջին ամսական անվանական աշխատավարձն ըստ արտարժույթի փոխարժեքների </t>
    </r>
    <r>
      <rPr>
        <b/>
        <vertAlign val="superscript"/>
        <sz val="12"/>
        <color rgb="FFC00000"/>
        <rFont val="GHEA Grapalat"/>
        <family val="3"/>
      </rPr>
      <t>1</t>
    </r>
  </si>
  <si>
    <r>
      <t xml:space="preserve">Среднемесячная номинальная заработная плата по валютным курсам </t>
    </r>
    <r>
      <rPr>
        <b/>
        <vertAlign val="superscript"/>
        <sz val="13"/>
        <color rgb="FFC00000"/>
        <rFont val="Calibri Light"/>
        <family val="2"/>
        <scheme val="major"/>
      </rPr>
      <t>1</t>
    </r>
  </si>
  <si>
    <t xml:space="preserve">113 163 </t>
  </si>
  <si>
    <t xml:space="preserve">88 704  </t>
  </si>
  <si>
    <t xml:space="preserve">137 808 </t>
  </si>
  <si>
    <t xml:space="preserve">      143 016  </t>
  </si>
  <si>
    <t xml:space="preserve">211 720 </t>
  </si>
  <si>
    <r>
      <t xml:space="preserve">Միջին ամսական անվանական աշխատավարձն ըստ սեռի </t>
    </r>
    <r>
      <rPr>
        <b/>
        <vertAlign val="superscript"/>
        <sz val="12"/>
        <color rgb="FFC00000"/>
        <rFont val="GHEA Grapalat"/>
        <family val="3"/>
      </rPr>
      <t>1</t>
    </r>
  </si>
  <si>
    <r>
      <t xml:space="preserve">Average Monthly Nominal Wages/Salaries by Sex </t>
    </r>
    <r>
      <rPr>
        <b/>
        <vertAlign val="superscript"/>
        <sz val="13"/>
        <color rgb="FFC00000"/>
        <rFont val="Calibri Light"/>
        <family val="2"/>
        <scheme val="major"/>
      </rPr>
      <t>1</t>
    </r>
  </si>
  <si>
    <r>
      <t xml:space="preserve">Среднемесячная номинальная заработная плата по полу </t>
    </r>
    <r>
      <rPr>
        <b/>
        <vertAlign val="superscript"/>
        <sz val="13"/>
        <color rgb="FFC00000"/>
        <rFont val="Calibri Light"/>
        <family val="2"/>
        <scheme val="major"/>
      </rPr>
      <t>1</t>
    </r>
  </si>
  <si>
    <t>ՀՀ կենտրոնական բանկի փոխարժեքով:</t>
  </si>
  <si>
    <t xml:space="preserve"> According to the currency rate of Central Bank of RA.  </t>
  </si>
  <si>
    <t>В соответствии с валютным курсом Центрального банка РА.</t>
  </si>
  <si>
    <r>
      <rPr>
        <b/>
        <sz val="10"/>
        <color theme="1"/>
        <rFont val="Calibri"/>
        <family val="2"/>
        <scheme val="minor"/>
      </rPr>
      <t>Разрыв в временных рядах:</t>
    </r>
    <r>
      <rPr>
        <sz val="10"/>
        <color theme="1"/>
        <rFont val="Calibri"/>
        <family val="2"/>
        <scheme val="minor"/>
      </rPr>
      <t xml:space="preserve"> Для обеспечения сопоставимости показателей заработной платы за 2012–2013 годы, показатели за 2012 год были пересчитаны параллельно на основе "Закона о подоходном налоге Республики Армения", вступившего в силу с 1 января 2013 года, с использованием метода расчетных (условных) ставок обязательных социальных взносов работодателя.</t>
    </r>
  </si>
  <si>
    <r>
      <rPr>
        <b/>
        <sz val="10"/>
        <color theme="1"/>
        <rFont val="Calibri"/>
        <family val="2"/>
        <scheme val="minor"/>
      </rPr>
      <t>Разрыв в временных рядах:</t>
    </r>
    <r>
      <rPr>
        <sz val="10"/>
        <color theme="1"/>
        <rFont val="Calibri"/>
        <family val="2"/>
        <scheme val="minor"/>
      </rPr>
      <t xml:space="preserve"> С 2018 года источником данных для расчета показателя средней заработной платы является база данных персонализированного учета подоходного налога и социальных взносов Комитета государственных доходов РА. В целях обеспечения сопоставимости показателей заработной платы за 2017-2018 годы также представлены данные за 2017 год по базе данных Комитета государственных доходов РА.</t>
    </r>
  </si>
  <si>
    <t>Total</t>
  </si>
  <si>
    <t>Women</t>
  </si>
  <si>
    <t>Men</t>
  </si>
  <si>
    <t>`Всего</t>
  </si>
  <si>
    <t>Женщины</t>
  </si>
  <si>
    <t>Мужчины</t>
  </si>
  <si>
    <t>Դրամ    AMD   драмов</t>
  </si>
  <si>
    <t xml:space="preserve">93 887  </t>
  </si>
  <si>
    <t xml:space="preserve">158 155 </t>
  </si>
  <si>
    <t>56 152</t>
  </si>
  <si>
    <t>65 575</t>
  </si>
  <si>
    <t>74 024</t>
  </si>
  <si>
    <t>90 879</t>
  </si>
  <si>
    <t>105 115</t>
  </si>
  <si>
    <t>110 312</t>
  </si>
  <si>
    <t>121 019</t>
  </si>
  <si>
    <t>125 405</t>
  </si>
  <si>
    <t xml:space="preserve">131 738 </t>
  </si>
  <si>
    <t>160 324</t>
  </si>
  <si>
    <t xml:space="preserve">195 425 </t>
  </si>
  <si>
    <t>Public</t>
  </si>
  <si>
    <t>No public</t>
  </si>
  <si>
    <t>Государственный</t>
  </si>
  <si>
    <t>Не государственный</t>
  </si>
  <si>
    <t xml:space="preserve">Միջին ամսական անվանական աշխատավարձն ըստ ըստ տնտեսության հատվածների </t>
  </si>
  <si>
    <t xml:space="preserve">Average Monthly Nominal Wages/Salaries by Sextors of Economy </t>
  </si>
  <si>
    <t>Среднемесячная номинальная заработная плата по секторам экономики</t>
  </si>
  <si>
    <r>
      <t xml:space="preserve"> 2012 </t>
    </r>
    <r>
      <rPr>
        <vertAlign val="superscript"/>
        <sz val="11"/>
        <color theme="10"/>
        <rFont val="GHEA Grapalat"/>
        <family val="3"/>
      </rPr>
      <t>1</t>
    </r>
  </si>
  <si>
    <r>
      <t xml:space="preserve"> 2017 </t>
    </r>
    <r>
      <rPr>
        <b/>
        <vertAlign val="superscript"/>
        <sz val="9"/>
        <color theme="1"/>
        <rFont val="GHEA Grapalat"/>
        <family val="3"/>
      </rPr>
      <t>2</t>
    </r>
  </si>
  <si>
    <t>2000-2025</t>
  </si>
  <si>
    <t>1980-2025</t>
  </si>
  <si>
    <t>2000 - 2025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</si>
</sst>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
    <numFmt numFmtId="166" formatCode="#,##0.0"/>
  </numFmts>
  <fonts count="60" x14ac:knownFonts="1">
    <font>
      <sz val="11"/>
      <color theme="1"/>
      <name val="Calibri"/>
      <family val="2"/>
      <scheme val="minor"/>
    </font>
    <font>
      <u/>
      <sz val="11"/>
      <color theme="10"/>
      <name val="Calibri"/>
      <family val="2"/>
      <scheme val="minor"/>
    </font>
    <font>
      <sz val="11"/>
      <color theme="1"/>
      <name val="GHEA Grapalat"/>
      <family val="3"/>
    </font>
    <font>
      <b/>
      <sz val="11"/>
      <color theme="1"/>
      <name val="GHEA Grapalat"/>
      <family val="3"/>
    </font>
    <font>
      <b/>
      <sz val="10"/>
      <color theme="1"/>
      <name val="GHEA Grapalat"/>
      <family val="3"/>
    </font>
    <font>
      <sz val="10"/>
      <color theme="1"/>
      <name val="GHEA Grapalat"/>
      <family val="3"/>
    </font>
    <font>
      <b/>
      <i/>
      <sz val="10"/>
      <color theme="1"/>
      <name val="GHEA Grapalat"/>
      <family val="3"/>
    </font>
    <font>
      <sz val="9"/>
      <name val="GHEA Grapalat"/>
      <family val="3"/>
    </font>
    <font>
      <sz val="9"/>
      <color theme="1"/>
      <name val="GHEA Grapalat"/>
      <family val="3"/>
    </font>
    <font>
      <i/>
      <sz val="10"/>
      <color theme="1"/>
      <name val="GHEA Grapalat"/>
      <family val="3"/>
    </font>
    <font>
      <sz val="10"/>
      <color rgb="FFFF0000"/>
      <name val="GHEA Grapalat"/>
      <family val="3"/>
    </font>
    <font>
      <sz val="11"/>
      <name val="GHEA Grapalat"/>
      <family val="3"/>
    </font>
    <font>
      <b/>
      <sz val="10"/>
      <name val="GHEA Grapalat"/>
      <family val="3"/>
    </font>
    <font>
      <sz val="9"/>
      <color rgb="FF000000"/>
      <name val="GHEA Grapalat"/>
      <family val="3"/>
    </font>
    <font>
      <b/>
      <i/>
      <sz val="10"/>
      <color rgb="FF000000"/>
      <name val="GHEA Grapalat"/>
      <family val="3"/>
    </font>
    <font>
      <b/>
      <sz val="9"/>
      <color theme="1"/>
      <name val="GHEA Grapalat"/>
      <family val="3"/>
    </font>
    <font>
      <b/>
      <sz val="11"/>
      <color theme="7" tint="-0.499984740745262"/>
      <name val="GHEA Grapalat"/>
      <family val="3"/>
    </font>
    <font>
      <b/>
      <shadow/>
      <sz val="11"/>
      <color rgb="FFC00000"/>
      <name val="GHEA Grapalat"/>
      <family val="3"/>
    </font>
    <font>
      <sz val="11"/>
      <color rgb="FFFFFFFF"/>
      <name val="GHEA Grapalat"/>
      <family val="3"/>
    </font>
    <font>
      <sz val="11"/>
      <color rgb="FF000000"/>
      <name val="GHEA Grapalat"/>
      <family val="3"/>
    </font>
    <font>
      <b/>
      <shadow/>
      <sz val="14"/>
      <color rgb="FFC00000"/>
      <name val="GHEA Grapalat"/>
      <family val="3"/>
    </font>
    <font>
      <b/>
      <sz val="9"/>
      <color rgb="FF000000"/>
      <name val="GHEA Grapalat"/>
      <family val="3"/>
    </font>
    <font>
      <i/>
      <sz val="9"/>
      <color theme="1"/>
      <name val="GHEA Grapalat"/>
      <family val="3"/>
    </font>
    <font>
      <b/>
      <sz val="11"/>
      <name val="GHEA Grapalat"/>
      <family val="3"/>
    </font>
    <font>
      <b/>
      <vertAlign val="superscript"/>
      <sz val="11"/>
      <name val="GHEA Grapalat"/>
      <family val="3"/>
    </font>
    <font>
      <b/>
      <sz val="12"/>
      <color theme="1"/>
      <name val="GHEA Grapalat"/>
      <family val="3"/>
    </font>
    <font>
      <vertAlign val="superscript"/>
      <sz val="9"/>
      <color theme="1"/>
      <name val="GHEA Grapalat"/>
      <family val="3"/>
    </font>
    <font>
      <b/>
      <vertAlign val="superscript"/>
      <sz val="9"/>
      <color theme="1"/>
      <name val="GHEA Grapalat"/>
      <family val="3"/>
    </font>
    <font>
      <sz val="11"/>
      <color theme="10"/>
      <name val="GHEA Grapalat"/>
      <family val="3"/>
    </font>
    <font>
      <vertAlign val="superscript"/>
      <sz val="11"/>
      <color theme="10"/>
      <name val="GHEA Grapalat"/>
      <family val="3"/>
    </font>
    <font>
      <b/>
      <sz val="10"/>
      <color rgb="FFC00000"/>
      <name val="GHEA Grapalat"/>
      <family val="3"/>
    </font>
    <font>
      <b/>
      <sz val="10"/>
      <color rgb="FF806000"/>
      <name val="GHEA Grapalat"/>
      <family val="3"/>
    </font>
    <font>
      <sz val="10"/>
      <color rgb="FFC00000"/>
      <name val="GHEA Grapalat"/>
      <family val="3"/>
    </font>
    <font>
      <b/>
      <sz val="12"/>
      <color rgb="FFC00000"/>
      <name val="GHEA Grapalat"/>
      <family val="3"/>
    </font>
    <font>
      <b/>
      <sz val="9"/>
      <color rgb="FF806000"/>
      <name val="GHEA Grapalat"/>
      <family val="3"/>
    </font>
    <font>
      <sz val="11"/>
      <color theme="1"/>
      <name val="Calibri Light"/>
      <family val="2"/>
      <scheme val="major"/>
    </font>
    <font>
      <b/>
      <sz val="11"/>
      <color theme="1"/>
      <name val="Calibri"/>
      <family val="2"/>
      <scheme val="minor"/>
    </font>
    <font>
      <sz val="10"/>
      <color theme="10"/>
      <name val="GHEA Grapalat"/>
      <family val="3"/>
    </font>
    <font>
      <vertAlign val="superscript"/>
      <sz val="10"/>
      <color theme="10"/>
      <name val="GHEA Grapalat"/>
      <family val="3"/>
    </font>
    <font>
      <b/>
      <sz val="14"/>
      <color theme="1"/>
      <name val="Calibri Light"/>
      <family val="2"/>
      <scheme val="major"/>
    </font>
    <font>
      <sz val="10"/>
      <color rgb="FF000000"/>
      <name val="Calibri Light"/>
      <family val="2"/>
      <scheme val="major"/>
    </font>
    <font>
      <sz val="8"/>
      <name val="Calibri"/>
      <family val="2"/>
      <scheme val="minor"/>
    </font>
    <font>
      <b/>
      <vertAlign val="superscript"/>
      <sz val="10"/>
      <color rgb="FFC00000"/>
      <name val="GHEA Grapalat"/>
      <family val="3"/>
    </font>
    <font>
      <sz val="9.5"/>
      <color theme="1"/>
      <name val="GHEA Grapalat"/>
      <family val="3"/>
    </font>
    <font>
      <vertAlign val="superscript"/>
      <sz val="11"/>
      <color theme="1"/>
      <name val="Calibri"/>
      <family val="2"/>
      <scheme val="minor"/>
    </font>
    <font>
      <b/>
      <sz val="9"/>
      <name val="GHEA Grapalat"/>
      <family val="3"/>
    </font>
    <font>
      <sz val="9.5"/>
      <color rgb="FF000000"/>
      <name val="GHEA Grapalat"/>
      <family val="3"/>
    </font>
    <font>
      <sz val="10"/>
      <color theme="1"/>
      <name val="Calibri"/>
      <family val="2"/>
      <scheme val="minor"/>
    </font>
    <font>
      <vertAlign val="superscript"/>
      <sz val="10"/>
      <color theme="1"/>
      <name val="Calibri"/>
      <family val="2"/>
      <scheme val="minor"/>
    </font>
    <font>
      <b/>
      <sz val="10"/>
      <color theme="1"/>
      <name val="Calibri"/>
      <family val="2"/>
      <scheme val="minor"/>
    </font>
    <font>
      <sz val="10.5"/>
      <color rgb="FF000000"/>
      <name val="Calibri Light"/>
      <family val="2"/>
      <scheme val="major"/>
    </font>
    <font>
      <vertAlign val="superscript"/>
      <sz val="10.5"/>
      <color rgb="FF000000"/>
      <name val="Calibri Light"/>
      <family val="2"/>
      <scheme val="major"/>
    </font>
    <font>
      <vertAlign val="superscript"/>
      <sz val="10.5"/>
      <color theme="1"/>
      <name val="Calibri Light"/>
      <family val="2"/>
      <scheme val="major"/>
    </font>
    <font>
      <i/>
      <vertAlign val="superscript"/>
      <sz val="10.5"/>
      <color rgb="FF000000"/>
      <name val="Times New Roman"/>
      <family val="1"/>
    </font>
    <font>
      <i/>
      <sz val="10.5"/>
      <color rgb="FF000000"/>
      <name val="Times New Roman"/>
      <family val="1"/>
    </font>
    <font>
      <b/>
      <vertAlign val="superscript"/>
      <sz val="15"/>
      <color rgb="FFC00000"/>
      <name val="GHEA Grapalat"/>
      <family val="3"/>
    </font>
    <font>
      <b/>
      <sz val="13"/>
      <color theme="1"/>
      <name val="Calibri Light"/>
      <family val="2"/>
      <scheme val="major"/>
    </font>
    <font>
      <b/>
      <vertAlign val="superscript"/>
      <sz val="13"/>
      <color rgb="FFC00000"/>
      <name val="Calibri Light"/>
      <family val="2"/>
      <scheme val="major"/>
    </font>
    <font>
      <b/>
      <vertAlign val="superscript"/>
      <sz val="12"/>
      <color rgb="FFC00000"/>
      <name val="GHEA Grapalat"/>
      <family val="3"/>
    </font>
    <font>
      <b/>
      <sz val="11"/>
      <color rgb="FFC00000"/>
      <name val="Calibri Light"/>
      <family val="2"/>
      <scheme val="major"/>
    </font>
  </fonts>
  <fills count="6">
    <fill>
      <patternFill patternType="none"/>
    </fill>
    <fill>
      <patternFill patternType="gray125"/>
    </fill>
    <fill>
      <patternFill patternType="solid">
        <fgColor theme="0" tint="-4.9989318521683403E-2"/>
        <bgColor indexed="64"/>
      </patternFill>
    </fill>
    <fill>
      <patternFill patternType="solid">
        <fgColor rgb="FFFFF8E5"/>
        <bgColor indexed="64"/>
      </patternFill>
    </fill>
    <fill>
      <patternFill patternType="solid">
        <fgColor rgb="FFF2F2F2"/>
        <bgColor indexed="64"/>
      </patternFill>
    </fill>
    <fill>
      <patternFill patternType="solid">
        <fgColor rgb="FFFFFBEF"/>
        <bgColor indexed="64"/>
      </patternFill>
    </fill>
  </fills>
  <borders count="42">
    <border>
      <left/>
      <right/>
      <top/>
      <bottom/>
      <diagonal/>
    </border>
    <border>
      <left/>
      <right/>
      <top style="medium">
        <color theme="7" tint="-0.499984740745262"/>
      </top>
      <bottom/>
      <diagonal/>
    </border>
    <border>
      <left/>
      <right/>
      <top style="medium">
        <color theme="7" tint="-0.499984740745262"/>
      </top>
      <bottom style="medium">
        <color theme="7" tint="-0.499984740745262"/>
      </bottom>
      <diagonal/>
    </border>
    <border>
      <left/>
      <right/>
      <top/>
      <bottom style="medium">
        <color theme="7" tint="-0.499984740745262"/>
      </bottom>
      <diagonal/>
    </border>
    <border>
      <left/>
      <right style="medium">
        <color theme="7" tint="-0.499984740745262"/>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top/>
      <bottom style="medium">
        <color indexed="64"/>
      </bottom>
      <diagonal/>
    </border>
    <border>
      <left style="medium">
        <color theme="7" tint="-0.499984740745262"/>
      </left>
      <right/>
      <top style="medium">
        <color theme="7" tint="-0.499984740745262"/>
      </top>
      <bottom/>
      <diagonal/>
    </border>
    <border>
      <left style="medium">
        <color theme="7" tint="-0.499984740745262"/>
      </left>
      <right/>
      <top/>
      <bottom/>
      <diagonal/>
    </border>
    <border>
      <left/>
      <right style="medium">
        <color indexed="64"/>
      </right>
      <top style="medium">
        <color theme="7" tint="-0.499984740745262"/>
      </top>
      <bottom/>
      <diagonal/>
    </border>
    <border>
      <left style="medium">
        <color indexed="64"/>
      </left>
      <right/>
      <top style="medium">
        <color theme="7" tint="-0.499984740745262"/>
      </top>
      <bottom/>
      <diagonal/>
    </border>
    <border>
      <left/>
      <right style="medium">
        <color theme="7" tint="-0.499984740745262"/>
      </right>
      <top style="medium">
        <color theme="7" tint="-0.499984740745262"/>
      </top>
      <bottom style="medium">
        <color theme="7" tint="-0.499984740745262"/>
      </bottom>
      <diagonal/>
    </border>
    <border>
      <left style="medium">
        <color theme="7" tint="-0.499984740745262"/>
      </left>
      <right/>
      <top style="medium">
        <color theme="7" tint="-0.499984740745262"/>
      </top>
      <bottom style="medium">
        <color theme="7" tint="-0.499984740745262"/>
      </bottom>
      <diagonal/>
    </border>
    <border>
      <left/>
      <right style="medium">
        <color theme="7" tint="-0.499984740745262"/>
      </right>
      <top style="medium">
        <color theme="7" tint="-0.499984740745262"/>
      </top>
      <bottom style="medium">
        <color indexed="64"/>
      </bottom>
      <diagonal/>
    </border>
    <border>
      <left style="medium">
        <color theme="7" tint="-0.499984740745262"/>
      </left>
      <right/>
      <top/>
      <bottom style="medium">
        <color theme="7" tint="-0.499984740745262"/>
      </bottom>
      <diagonal/>
    </border>
    <border>
      <left style="medium">
        <color theme="7" tint="-0.499984740745262"/>
      </left>
      <right/>
      <top style="medium">
        <color indexed="64"/>
      </top>
      <bottom/>
      <diagonal/>
    </border>
    <border>
      <left/>
      <right/>
      <top style="medium">
        <color rgb="FF806000"/>
      </top>
      <bottom/>
      <diagonal/>
    </border>
    <border>
      <left/>
      <right style="medium">
        <color theme="7" tint="-0.499984740745262"/>
      </right>
      <top style="medium">
        <color theme="7" tint="-0.499984740745262"/>
      </top>
      <bottom/>
      <diagonal/>
    </border>
    <border>
      <left style="medium">
        <color theme="7" tint="-0.499984740745262"/>
      </left>
      <right style="medium">
        <color theme="7" tint="-0.499984740745262"/>
      </right>
      <top style="medium">
        <color theme="7" tint="-0.499984740745262"/>
      </top>
      <bottom/>
      <diagonal/>
    </border>
    <border>
      <left style="medium">
        <color theme="7" tint="-0.499984740745262"/>
      </left>
      <right style="medium">
        <color theme="7" tint="-0.499984740745262"/>
      </right>
      <top/>
      <bottom/>
      <diagonal/>
    </border>
    <border>
      <left/>
      <right style="hair">
        <color theme="7" tint="-0.499984740745262"/>
      </right>
      <top style="medium">
        <color theme="7" tint="-0.499984740745262"/>
      </top>
      <bottom style="thin">
        <color theme="7" tint="-0.499984740745262"/>
      </bottom>
      <diagonal/>
    </border>
    <border>
      <left style="hair">
        <color theme="7" tint="-0.499984740745262"/>
      </left>
      <right style="hair">
        <color theme="7" tint="-0.499984740745262"/>
      </right>
      <top style="medium">
        <color theme="7" tint="-0.499984740745262"/>
      </top>
      <bottom style="thin">
        <color theme="7" tint="-0.499984740745262"/>
      </bottom>
      <diagonal/>
    </border>
    <border>
      <left style="hair">
        <color theme="7" tint="-0.499984740745262"/>
      </left>
      <right/>
      <top style="medium">
        <color theme="7" tint="-0.499984740745262"/>
      </top>
      <bottom style="thin">
        <color theme="7" tint="-0.499984740745262"/>
      </bottom>
      <diagonal/>
    </border>
    <border>
      <left/>
      <right style="hair">
        <color theme="7" tint="-0.499984740745262"/>
      </right>
      <top style="thin">
        <color theme="7" tint="-0.499984740745262"/>
      </top>
      <bottom style="thin">
        <color theme="7" tint="-0.499984740745262"/>
      </bottom>
      <diagonal/>
    </border>
    <border>
      <left style="hair">
        <color theme="7" tint="-0.499984740745262"/>
      </left>
      <right style="hair">
        <color theme="7" tint="-0.499984740745262"/>
      </right>
      <top style="thin">
        <color theme="7" tint="-0.499984740745262"/>
      </top>
      <bottom style="thin">
        <color theme="7" tint="-0.499984740745262"/>
      </bottom>
      <diagonal/>
    </border>
    <border>
      <left style="hair">
        <color theme="7" tint="-0.499984740745262"/>
      </left>
      <right/>
      <top style="thin">
        <color theme="7" tint="-0.499984740745262"/>
      </top>
      <bottom style="thin">
        <color theme="7" tint="-0.499984740745262"/>
      </bottom>
      <diagonal/>
    </border>
    <border>
      <left/>
      <right style="hair">
        <color theme="7" tint="-0.499984740745262"/>
      </right>
      <top style="thin">
        <color theme="7" tint="-0.499984740745262"/>
      </top>
      <bottom style="medium">
        <color theme="7" tint="-0.499984740745262"/>
      </bottom>
      <diagonal/>
    </border>
    <border>
      <left style="hair">
        <color theme="7" tint="-0.499984740745262"/>
      </left>
      <right style="hair">
        <color theme="7" tint="-0.499984740745262"/>
      </right>
      <top style="thin">
        <color theme="7" tint="-0.499984740745262"/>
      </top>
      <bottom style="medium">
        <color theme="7" tint="-0.499984740745262"/>
      </bottom>
      <diagonal/>
    </border>
    <border>
      <left style="hair">
        <color theme="7" tint="-0.499984740745262"/>
      </left>
      <right/>
      <top style="thin">
        <color theme="7" tint="-0.499984740745262"/>
      </top>
      <bottom style="medium">
        <color theme="7" tint="-0.499984740745262"/>
      </bottom>
      <diagonal/>
    </border>
    <border>
      <left style="medium">
        <color theme="7" tint="-0.499984740745262"/>
      </left>
      <right style="hair">
        <color theme="7" tint="-0.499984740745262"/>
      </right>
      <top style="medium">
        <color theme="7" tint="-0.499984740745262"/>
      </top>
      <bottom style="thin">
        <color theme="7" tint="-0.499984740745262"/>
      </bottom>
      <diagonal/>
    </border>
    <border>
      <left style="medium">
        <color theme="7" tint="-0.499984740745262"/>
      </left>
      <right style="hair">
        <color theme="7" tint="-0.499984740745262"/>
      </right>
      <top style="thin">
        <color theme="7" tint="-0.499984740745262"/>
      </top>
      <bottom style="thin">
        <color theme="7" tint="-0.499984740745262"/>
      </bottom>
      <diagonal/>
    </border>
    <border>
      <left style="medium">
        <color theme="7" tint="-0.499984740745262"/>
      </left>
      <right style="hair">
        <color theme="7" tint="-0.499984740745262"/>
      </right>
      <top style="thin">
        <color theme="7" tint="-0.499984740745262"/>
      </top>
      <bottom style="medium">
        <color theme="7" tint="-0.499984740745262"/>
      </bottom>
      <diagonal/>
    </border>
    <border>
      <left/>
      <right style="medium">
        <color theme="7" tint="-0.499984740745262"/>
      </right>
      <top style="thin">
        <color theme="7" tint="-0.499984740745262"/>
      </top>
      <bottom/>
      <diagonal/>
    </border>
    <border>
      <left style="medium">
        <color theme="7" tint="-0.499984740745262"/>
      </left>
      <right style="medium">
        <color theme="7" tint="-0.499984740745262"/>
      </right>
      <top/>
      <bottom style="medium">
        <color theme="7" tint="-0.499984740745262"/>
      </bottom>
      <diagonal/>
    </border>
    <border>
      <left/>
      <right style="medium">
        <color theme="7" tint="-0.499984740745262"/>
      </right>
      <top/>
      <bottom style="thin">
        <color theme="7" tint="-0.499984740745262"/>
      </bottom>
      <diagonal/>
    </border>
    <border>
      <left style="medium">
        <color theme="7" tint="-0.499984740745262"/>
      </left>
      <right/>
      <top style="medium">
        <color theme="7" tint="-0.499984740745262"/>
      </top>
      <bottom style="thin">
        <color theme="7" tint="-0.499984740745262"/>
      </bottom>
      <diagonal/>
    </border>
    <border>
      <left/>
      <right/>
      <top style="medium">
        <color theme="7" tint="-0.499984740745262"/>
      </top>
      <bottom style="thin">
        <color theme="7" tint="-0.499984740745262"/>
      </bottom>
      <diagonal/>
    </border>
    <border>
      <left style="medium">
        <color theme="7" tint="-0.499984740745262"/>
      </left>
      <right/>
      <top style="thin">
        <color theme="7" tint="-0.499984740745262"/>
      </top>
      <bottom style="thin">
        <color theme="7" tint="-0.499984740745262"/>
      </bottom>
      <diagonal/>
    </border>
    <border>
      <left/>
      <right/>
      <top style="thin">
        <color theme="7" tint="-0.499984740745262"/>
      </top>
      <bottom style="thin">
        <color theme="7" tint="-0.499984740745262"/>
      </bottom>
      <diagonal/>
    </border>
    <border>
      <left/>
      <right/>
      <top style="thin">
        <color theme="7" tint="-0.499984740745262"/>
      </top>
      <bottom/>
      <diagonal/>
    </border>
  </borders>
  <cellStyleXfs count="2">
    <xf numFmtId="0" fontId="0" fillId="0" borderId="0"/>
    <xf numFmtId="0" fontId="1" fillId="0" borderId="0" applyNumberFormat="0" applyFill="0" applyBorder="0" applyAlignment="0" applyProtection="0"/>
  </cellStyleXfs>
  <cellXfs count="189">
    <xf numFmtId="0" fontId="0" fillId="0" borderId="0" xfId="0"/>
    <xf numFmtId="0" fontId="2" fillId="0" borderId="0" xfId="0" applyFont="1" applyAlignment="1">
      <alignment vertical="center"/>
    </xf>
    <xf numFmtId="0" fontId="2" fillId="2" borderId="0" xfId="0" applyFont="1" applyFill="1" applyAlignment="1">
      <alignment vertical="center"/>
    </xf>
    <xf numFmtId="0" fontId="5" fillId="3" borderId="2" xfId="0" applyFont="1" applyFill="1" applyBorder="1" applyAlignment="1">
      <alignment horizontal="center" vertical="center"/>
    </xf>
    <xf numFmtId="0" fontId="2" fillId="2" borderId="4" xfId="0" applyFont="1" applyFill="1" applyBorder="1" applyAlignment="1">
      <alignment vertical="center"/>
    </xf>
    <xf numFmtId="0" fontId="6" fillId="2" borderId="0" xfId="0" applyFont="1" applyFill="1" applyAlignment="1">
      <alignment horizontal="left" vertical="center" wrapText="1" indent="1"/>
    </xf>
    <xf numFmtId="164" fontId="10" fillId="2" borderId="0" xfId="0" applyNumberFormat="1" applyFont="1" applyFill="1" applyAlignment="1">
      <alignment vertical="center"/>
    </xf>
    <xf numFmtId="0" fontId="3" fillId="2" borderId="4" xfId="0" applyFont="1" applyFill="1" applyBorder="1" applyAlignment="1">
      <alignment horizontal="center" vertical="center"/>
    </xf>
    <xf numFmtId="49" fontId="4" fillId="3" borderId="2" xfId="0" applyNumberFormat="1" applyFont="1" applyFill="1" applyBorder="1" applyAlignment="1">
      <alignment horizontal="center" vertical="center"/>
    </xf>
    <xf numFmtId="0" fontId="2" fillId="3" borderId="1" xfId="0" applyFont="1" applyFill="1" applyBorder="1" applyAlignment="1">
      <alignment vertical="center"/>
    </xf>
    <xf numFmtId="0" fontId="2" fillId="0" borderId="0" xfId="0" applyFont="1"/>
    <xf numFmtId="3" fontId="8" fillId="0" borderId="0" xfId="0" applyNumberFormat="1" applyFont="1" applyAlignment="1">
      <alignment horizontal="right" vertical="center" wrapText="1"/>
    </xf>
    <xf numFmtId="0" fontId="8" fillId="0" borderId="0" xfId="0" applyFont="1" applyAlignment="1">
      <alignment horizontal="right" vertical="center" wrapText="1"/>
    </xf>
    <xf numFmtId="0" fontId="16" fillId="2"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7" fillId="0" borderId="0" xfId="0" applyFont="1" applyAlignment="1">
      <alignment horizontal="center" vertical="center"/>
    </xf>
    <xf numFmtId="0" fontId="5" fillId="0" borderId="0" xfId="0" applyFont="1"/>
    <xf numFmtId="0" fontId="5" fillId="3" borderId="15" xfId="0" applyFont="1" applyFill="1" applyBorder="1" applyAlignment="1">
      <alignment horizontal="center" vertical="center"/>
    </xf>
    <xf numFmtId="0" fontId="16" fillId="2" borderId="0" xfId="0" applyFont="1" applyFill="1" applyAlignment="1">
      <alignment horizontal="center" vertical="center" wrapText="1"/>
    </xf>
    <xf numFmtId="0" fontId="5" fillId="0" borderId="0" xfId="0" applyFont="1" applyAlignment="1">
      <alignment horizontal="left" vertical="center" wrapText="1" indent="1"/>
    </xf>
    <xf numFmtId="3" fontId="4" fillId="0" borderId="10" xfId="0" applyNumberFormat="1" applyFont="1" applyBorder="1" applyAlignment="1">
      <alignment horizontal="left" vertical="center" wrapText="1"/>
    </xf>
    <xf numFmtId="0" fontId="19" fillId="2" borderId="0" xfId="0" applyFont="1" applyFill="1" applyAlignment="1">
      <alignment horizontal="left" vertical="center" wrapText="1" indent="2"/>
    </xf>
    <xf numFmtId="0" fontId="2" fillId="2" borderId="0" xfId="0" applyFont="1" applyFill="1" applyAlignment="1">
      <alignment horizontal="center" vertical="center" wrapText="1"/>
    </xf>
    <xf numFmtId="0" fontId="18" fillId="0" borderId="0" xfId="0" applyFont="1" applyAlignment="1">
      <alignment horizontal="center" vertical="center"/>
    </xf>
    <xf numFmtId="0" fontId="6" fillId="2" borderId="10" xfId="0" applyFont="1" applyFill="1" applyBorder="1" applyAlignment="1">
      <alignment horizontal="left" vertical="center" wrapText="1" indent="1"/>
    </xf>
    <xf numFmtId="0" fontId="4" fillId="0" borderId="10" xfId="0" applyFont="1" applyBorder="1" applyAlignment="1">
      <alignment vertical="center" wrapText="1"/>
    </xf>
    <xf numFmtId="0" fontId="5" fillId="0" borderId="10" xfId="0" applyFont="1" applyBorder="1" applyAlignment="1">
      <alignment horizontal="left" vertical="center" wrapText="1" indent="1"/>
    </xf>
    <xf numFmtId="3" fontId="15" fillId="0" borderId="0" xfId="0" applyNumberFormat="1" applyFont="1" applyAlignment="1">
      <alignment horizontal="right" vertical="center" wrapText="1"/>
    </xf>
    <xf numFmtId="166" fontId="15" fillId="0" borderId="0" xfId="0" applyNumberFormat="1" applyFont="1" applyAlignment="1">
      <alignment horizontal="right" vertical="center" wrapText="1"/>
    </xf>
    <xf numFmtId="166" fontId="8" fillId="0" borderId="0" xfId="0" applyNumberFormat="1" applyFont="1" applyAlignment="1">
      <alignment horizontal="right" vertical="center" wrapText="1"/>
    </xf>
    <xf numFmtId="0" fontId="8" fillId="0" borderId="0" xfId="0" applyFont="1"/>
    <xf numFmtId="0" fontId="7" fillId="0" borderId="0" xfId="0" applyFont="1"/>
    <xf numFmtId="0" fontId="11" fillId="0" borderId="0" xfId="0" applyFont="1"/>
    <xf numFmtId="0" fontId="5" fillId="3" borderId="1" xfId="0" applyFont="1" applyFill="1" applyBorder="1" applyAlignment="1">
      <alignment horizontal="center" vertical="center"/>
    </xf>
    <xf numFmtId="0" fontId="8" fillId="0" borderId="0" xfId="0" applyFont="1" applyAlignment="1">
      <alignment horizontal="right" vertical="center"/>
    </xf>
    <xf numFmtId="3" fontId="13" fillId="0" borderId="0" xfId="0" applyNumberFormat="1" applyFont="1" applyAlignment="1">
      <alignment horizontal="right" vertical="center" wrapText="1"/>
    </xf>
    <xf numFmtId="0" fontId="13" fillId="0" borderId="0" xfId="0" applyFont="1" applyAlignment="1">
      <alignment horizontal="right" vertical="center" wrapText="1"/>
    </xf>
    <xf numFmtId="3" fontId="8" fillId="0" borderId="0" xfId="0" applyNumberFormat="1" applyFont="1" applyAlignment="1">
      <alignment horizontal="right" vertical="center"/>
    </xf>
    <xf numFmtId="0" fontId="15" fillId="0" borderId="0" xfId="0" applyFont="1" applyAlignment="1">
      <alignment horizontal="center" vertical="center"/>
    </xf>
    <xf numFmtId="0" fontId="15" fillId="0" borderId="18" xfId="0" applyFont="1" applyBorder="1" applyAlignment="1">
      <alignment horizontal="center" vertical="center"/>
    </xf>
    <xf numFmtId="3" fontId="13" fillId="0" borderId="0" xfId="0" applyNumberFormat="1" applyFont="1" applyAlignment="1">
      <alignment horizontal="right" vertical="center"/>
    </xf>
    <xf numFmtId="0" fontId="13" fillId="0" borderId="0" xfId="0" applyFont="1" applyAlignment="1">
      <alignment horizontal="right" vertical="center"/>
    </xf>
    <xf numFmtId="0" fontId="21" fillId="0" borderId="0" xfId="0" applyFont="1" applyAlignment="1">
      <alignment horizontal="center" vertical="center"/>
    </xf>
    <xf numFmtId="49" fontId="5" fillId="3" borderId="2" xfId="0" applyNumberFormat="1" applyFont="1" applyFill="1" applyBorder="1" applyAlignment="1">
      <alignment horizontal="center" vertical="center"/>
    </xf>
    <xf numFmtId="3" fontId="31" fillId="0" borderId="10" xfId="0" applyNumberFormat="1" applyFont="1" applyBorder="1" applyAlignment="1">
      <alignment horizontal="left" vertical="center" wrapText="1"/>
    </xf>
    <xf numFmtId="3" fontId="34" fillId="0" borderId="0" xfId="0" applyNumberFormat="1" applyFont="1" applyAlignment="1">
      <alignment horizontal="right" vertical="center" wrapText="1"/>
    </xf>
    <xf numFmtId="0" fontId="15" fillId="0" borderId="4" xfId="0" applyFont="1" applyBorder="1" applyAlignment="1">
      <alignment horizontal="center" vertical="center"/>
    </xf>
    <xf numFmtId="0" fontId="2" fillId="2" borderId="4" xfId="0" applyFont="1" applyFill="1" applyBorder="1"/>
    <xf numFmtId="0" fontId="42" fillId="2" borderId="0" xfId="0" applyFont="1" applyFill="1" applyAlignment="1">
      <alignment horizontal="center" vertical="center"/>
    </xf>
    <xf numFmtId="0" fontId="2" fillId="0" borderId="0" xfId="0" applyFont="1" applyAlignment="1">
      <alignment horizontal="center"/>
    </xf>
    <xf numFmtId="0" fontId="2" fillId="2" borderId="0" xfId="0" applyFont="1" applyFill="1"/>
    <xf numFmtId="0" fontId="2" fillId="2" borderId="0" xfId="0" applyFont="1" applyFill="1" applyAlignment="1">
      <alignment horizontal="center"/>
    </xf>
    <xf numFmtId="3" fontId="43" fillId="0" borderId="18" xfId="0" applyNumberFormat="1" applyFont="1" applyBorder="1" applyAlignment="1">
      <alignment horizontal="right" vertical="center"/>
    </xf>
    <xf numFmtId="3" fontId="46" fillId="0" borderId="18" xfId="0" applyNumberFormat="1" applyFont="1" applyBorder="1" applyAlignment="1">
      <alignment horizontal="right" vertical="center" wrapText="1"/>
    </xf>
    <xf numFmtId="3" fontId="46" fillId="0" borderId="0" xfId="0" applyNumberFormat="1" applyFont="1" applyAlignment="1">
      <alignment horizontal="right" vertical="center"/>
    </xf>
    <xf numFmtId="3" fontId="46" fillId="0" borderId="0" xfId="0" applyNumberFormat="1" applyFont="1" applyAlignment="1">
      <alignment horizontal="right" vertical="center" wrapText="1"/>
    </xf>
    <xf numFmtId="3" fontId="43" fillId="0" borderId="0" xfId="0" applyNumberFormat="1" applyFont="1" applyAlignment="1">
      <alignment horizontal="right" vertical="center"/>
    </xf>
    <xf numFmtId="3" fontId="43" fillId="0" borderId="0" xfId="0" applyNumberFormat="1" applyFont="1" applyAlignment="1">
      <alignment horizontal="right" vertical="center" wrapText="1"/>
    </xf>
    <xf numFmtId="0" fontId="25" fillId="0" borderId="0" xfId="0" applyFont="1" applyAlignment="1">
      <alignment vertical="center" wrapText="1"/>
    </xf>
    <xf numFmtId="0" fontId="21" fillId="0" borderId="19" xfId="0" applyFont="1" applyBorder="1" applyAlignment="1">
      <alignment horizontal="center" vertical="center"/>
    </xf>
    <xf numFmtId="0" fontId="21" fillId="0" borderId="4" xfId="0" applyFont="1" applyBorder="1" applyAlignment="1">
      <alignment horizontal="center" vertical="center"/>
    </xf>
    <xf numFmtId="0" fontId="22" fillId="0" borderId="4" xfId="0" applyFont="1" applyBorder="1" applyAlignment="1">
      <alignment horizontal="left" vertical="center" indent="1"/>
    </xf>
    <xf numFmtId="0" fontId="22" fillId="0" borderId="4" xfId="0" applyFont="1" applyBorder="1" applyAlignment="1">
      <alignment horizontal="center" vertical="center"/>
    </xf>
    <xf numFmtId="0" fontId="2" fillId="2" borderId="34" xfId="0" applyFont="1" applyFill="1" applyBorder="1"/>
    <xf numFmtId="0" fontId="8" fillId="5" borderId="31" xfId="0" applyFont="1" applyFill="1" applyBorder="1" applyAlignment="1">
      <alignment horizontal="center" vertical="top" wrapText="1"/>
    </xf>
    <xf numFmtId="0" fontId="8" fillId="5" borderId="22" xfId="0" applyFont="1" applyFill="1" applyBorder="1" applyAlignment="1">
      <alignment horizontal="center" vertical="top" wrapText="1"/>
    </xf>
    <xf numFmtId="0" fontId="8" fillId="5" borderId="23" xfId="0" applyFont="1" applyFill="1" applyBorder="1" applyAlignment="1">
      <alignment horizontal="center" vertical="top" wrapText="1"/>
    </xf>
    <xf numFmtId="0" fontId="8" fillId="5" borderId="24" xfId="0" applyFont="1" applyFill="1" applyBorder="1" applyAlignment="1">
      <alignment horizontal="center" vertical="top" wrapText="1"/>
    </xf>
    <xf numFmtId="0" fontId="40" fillId="5" borderId="33" xfId="0" applyFont="1" applyFill="1" applyBorder="1" applyAlignment="1">
      <alignment horizontal="center" vertical="center" wrapText="1"/>
    </xf>
    <xf numFmtId="0" fontId="40" fillId="5" borderId="28" xfId="0" applyFont="1" applyFill="1" applyBorder="1" applyAlignment="1">
      <alignment horizontal="center" vertical="center" wrapText="1"/>
    </xf>
    <xf numFmtId="0" fontId="40" fillId="5" borderId="29" xfId="0" applyFont="1" applyFill="1" applyBorder="1" applyAlignment="1">
      <alignment horizontal="center" vertical="center" wrapText="1"/>
    </xf>
    <xf numFmtId="0" fontId="40" fillId="5" borderId="30" xfId="0" applyFont="1" applyFill="1" applyBorder="1" applyAlignment="1">
      <alignment horizontal="center" vertical="center" wrapText="1"/>
    </xf>
    <xf numFmtId="0" fontId="50" fillId="5" borderId="32" xfId="0" applyFont="1" applyFill="1" applyBorder="1" applyAlignment="1">
      <alignment horizontal="center" wrapText="1"/>
    </xf>
    <xf numFmtId="0" fontId="50" fillId="5" borderId="25" xfId="0" applyFont="1" applyFill="1" applyBorder="1" applyAlignment="1">
      <alignment horizontal="center" wrapText="1"/>
    </xf>
    <xf numFmtId="0" fontId="50" fillId="5" borderId="26" xfId="0" applyFont="1" applyFill="1" applyBorder="1" applyAlignment="1">
      <alignment horizontal="center" wrapText="1"/>
    </xf>
    <xf numFmtId="0" fontId="50" fillId="5" borderId="27" xfId="0" applyFont="1" applyFill="1" applyBorder="1" applyAlignment="1">
      <alignment horizontal="center" wrapText="1"/>
    </xf>
    <xf numFmtId="0" fontId="56" fillId="0" borderId="0" xfId="0" applyFont="1" applyAlignment="1">
      <alignment vertical="center" wrapText="1"/>
    </xf>
    <xf numFmtId="0" fontId="2" fillId="3" borderId="14" xfId="0" applyFont="1" applyFill="1" applyBorder="1" applyAlignment="1">
      <alignment vertical="center"/>
    </xf>
    <xf numFmtId="0" fontId="2" fillId="5" borderId="37" xfId="0" applyFont="1" applyFill="1" applyBorder="1"/>
    <xf numFmtId="0" fontId="35" fillId="5" borderId="38" xfId="0" applyFont="1" applyFill="1" applyBorder="1" applyAlignment="1">
      <alignment horizontal="center" vertical="center"/>
    </xf>
    <xf numFmtId="0" fontId="2" fillId="5" borderId="39" xfId="0" applyFont="1" applyFill="1" applyBorder="1"/>
    <xf numFmtId="0" fontId="35" fillId="5" borderId="40" xfId="0" applyFont="1" applyFill="1" applyBorder="1" applyAlignment="1">
      <alignment horizontal="center" vertical="center"/>
    </xf>
    <xf numFmtId="0" fontId="7" fillId="2" borderId="0" xfId="1" applyFont="1" applyFill="1" applyAlignment="1">
      <alignment horizontal="left" vertical="center" indent="1"/>
    </xf>
    <xf numFmtId="0" fontId="7" fillId="2" borderId="0" xfId="0" applyFont="1" applyFill="1" applyAlignment="1">
      <alignment horizontal="left" indent="1"/>
    </xf>
    <xf numFmtId="0" fontId="2" fillId="0" borderId="0" xfId="0" applyFont="1" applyAlignment="1">
      <alignment horizontal="left" indent="1"/>
    </xf>
    <xf numFmtId="0" fontId="47" fillId="2" borderId="0" xfId="0" applyFont="1" applyFill="1" applyAlignment="1">
      <alignment horizontal="left" indent="1"/>
    </xf>
    <xf numFmtId="0" fontId="5" fillId="2" borderId="0" xfId="0" applyFont="1" applyFill="1" applyAlignment="1">
      <alignment horizontal="left" indent="1"/>
    </xf>
    <xf numFmtId="0" fontId="0" fillId="0" borderId="0" xfId="0" applyAlignment="1">
      <alignment horizontal="left" indent="1"/>
    </xf>
    <xf numFmtId="0" fontId="0" fillId="2" borderId="0" xfId="0" applyFill="1" applyAlignment="1">
      <alignment horizontal="left" indent="1"/>
    </xf>
    <xf numFmtId="0" fontId="2" fillId="2" borderId="0" xfId="0" applyFont="1" applyFill="1" applyAlignment="1">
      <alignment horizontal="left" indent="1"/>
    </xf>
    <xf numFmtId="0" fontId="39" fillId="0" borderId="0" xfId="0" applyFont="1" applyAlignment="1">
      <alignment vertical="center" wrapText="1"/>
    </xf>
    <xf numFmtId="0" fontId="20" fillId="0" borderId="0" xfId="0" applyFont="1" applyAlignment="1">
      <alignment vertical="center"/>
    </xf>
    <xf numFmtId="0" fontId="7" fillId="0" borderId="0" xfId="0" applyFont="1" applyAlignment="1">
      <alignment vertical="center"/>
    </xf>
    <xf numFmtId="0" fontId="47" fillId="2" borderId="0" xfId="0" applyFont="1" applyFill="1" applyAlignment="1">
      <alignment vertical="center"/>
    </xf>
    <xf numFmtId="0" fontId="47" fillId="0" borderId="0" xfId="0" applyFont="1" applyAlignment="1">
      <alignment vertical="center"/>
    </xf>
    <xf numFmtId="0" fontId="0" fillId="0" borderId="0" xfId="0" applyAlignment="1">
      <alignment vertical="center"/>
    </xf>
    <xf numFmtId="0" fontId="8" fillId="0" borderId="1" xfId="0" applyFont="1" applyBorder="1" applyAlignment="1">
      <alignment horizontal="right" vertical="center" indent="1"/>
    </xf>
    <xf numFmtId="0" fontId="8" fillId="0" borderId="1" xfId="0" applyFont="1" applyBorder="1" applyAlignment="1">
      <alignment horizontal="right" vertical="center" wrapText="1" indent="1"/>
    </xf>
    <xf numFmtId="0" fontId="8" fillId="0" borderId="0" xfId="0" applyFont="1" applyAlignment="1">
      <alignment horizontal="right" vertical="center" indent="1"/>
    </xf>
    <xf numFmtId="0" fontId="8" fillId="0" borderId="0" xfId="0" applyFont="1" applyAlignment="1">
      <alignment horizontal="right" vertical="center" wrapText="1" indent="1"/>
    </xf>
    <xf numFmtId="3" fontId="8" fillId="0" borderId="0" xfId="0" applyNumberFormat="1" applyFont="1" applyAlignment="1">
      <alignment horizontal="right" vertical="center" wrapText="1" indent="1"/>
    </xf>
    <xf numFmtId="3" fontId="13" fillId="0" borderId="0" xfId="0" applyNumberFormat="1" applyFont="1" applyAlignment="1">
      <alignment horizontal="right" vertical="center" wrapText="1" indent="1"/>
    </xf>
    <xf numFmtId="0" fontId="13" fillId="0" borderId="0" xfId="0" applyFont="1" applyAlignment="1">
      <alignment horizontal="right" vertical="center" wrapText="1" indent="1"/>
    </xf>
    <xf numFmtId="3" fontId="8" fillId="0" borderId="0" xfId="0" applyNumberFormat="1" applyFont="1" applyAlignment="1">
      <alignment horizontal="right" vertical="center" indent="1"/>
    </xf>
    <xf numFmtId="0" fontId="2" fillId="0" borderId="0" xfId="0" applyFont="1" applyAlignment="1">
      <alignment horizontal="right" indent="1"/>
    </xf>
    <xf numFmtId="165" fontId="8" fillId="0" borderId="0" xfId="0" applyNumberFormat="1" applyFont="1" applyAlignment="1">
      <alignment horizontal="right" vertical="center" wrapText="1" indent="1"/>
    </xf>
    <xf numFmtId="0" fontId="37" fillId="0" borderId="0" xfId="1" applyFont="1" applyBorder="1" applyAlignment="1">
      <alignment horizontal="right" vertical="center" wrapText="1" indent="1"/>
    </xf>
    <xf numFmtId="165" fontId="13" fillId="0" borderId="0" xfId="0" applyNumberFormat="1" applyFont="1" applyAlignment="1">
      <alignment horizontal="right" vertical="center" wrapText="1" indent="1"/>
    </xf>
    <xf numFmtId="3" fontId="43" fillId="0" borderId="18" xfId="0" applyNumberFormat="1" applyFont="1" applyBorder="1" applyAlignment="1">
      <alignment horizontal="right" vertical="center" wrapText="1"/>
    </xf>
    <xf numFmtId="3" fontId="13" fillId="0" borderId="0" xfId="0" applyNumberFormat="1" applyFont="1" applyAlignment="1">
      <alignment horizontal="right" vertical="center" indent="1"/>
    </xf>
    <xf numFmtId="0" fontId="13" fillId="0" borderId="0" xfId="0" applyFont="1" applyAlignment="1">
      <alignment horizontal="right" vertical="center" indent="1"/>
    </xf>
    <xf numFmtId="0" fontId="7" fillId="2" borderId="0" xfId="0" applyFont="1" applyFill="1" applyAlignment="1">
      <alignment horizontal="left" vertical="center" indent="1"/>
    </xf>
    <xf numFmtId="0" fontId="2" fillId="0" borderId="0" xfId="0" applyFont="1" applyAlignment="1">
      <alignment horizontal="left" vertical="center" indent="1"/>
    </xf>
    <xf numFmtId="0" fontId="47" fillId="2" borderId="0" xfId="0" applyFont="1" applyFill="1" applyAlignment="1">
      <alignment horizontal="left" vertical="center" indent="1"/>
    </xf>
    <xf numFmtId="0" fontId="5" fillId="2" borderId="0" xfId="0" applyFont="1" applyFill="1" applyAlignment="1">
      <alignment horizontal="left" vertical="center" indent="1"/>
    </xf>
    <xf numFmtId="0" fontId="0" fillId="0" borderId="0" xfId="0" applyAlignment="1">
      <alignment horizontal="left" vertical="center" indent="1"/>
    </xf>
    <xf numFmtId="0" fontId="0" fillId="2" borderId="0" xfId="0" applyFill="1" applyAlignment="1">
      <alignment horizontal="left" vertical="center" indent="1"/>
    </xf>
    <xf numFmtId="0" fontId="2" fillId="2" borderId="0" xfId="0" applyFont="1" applyFill="1" applyAlignment="1">
      <alignment horizontal="left" vertical="center" indent="1"/>
    </xf>
    <xf numFmtId="0" fontId="13" fillId="0" borderId="0" xfId="0" applyFont="1" applyAlignment="1">
      <alignment horizontal="right" vertical="center" wrapText="1" indent="1"/>
    </xf>
    <xf numFmtId="0" fontId="42" fillId="2" borderId="4" xfId="0" applyFont="1" applyFill="1" applyBorder="1" applyAlignment="1">
      <alignment horizontal="center" vertical="center"/>
    </xf>
    <xf numFmtId="0" fontId="2" fillId="5" borderId="20" xfId="0" applyFont="1" applyFill="1" applyBorder="1" applyAlignment="1">
      <alignment horizontal="center" vertical="center"/>
    </xf>
    <xf numFmtId="0" fontId="2" fillId="5" borderId="21" xfId="0" applyFont="1" applyFill="1" applyBorder="1" applyAlignment="1">
      <alignment horizontal="center" vertical="center"/>
    </xf>
    <xf numFmtId="0" fontId="2" fillId="5" borderId="35" xfId="0" applyFont="1" applyFill="1" applyBorder="1" applyAlignment="1">
      <alignment horizontal="center" vertical="center"/>
    </xf>
    <xf numFmtId="0" fontId="55" fillId="2" borderId="34" xfId="0" applyFont="1" applyFill="1" applyBorder="1" applyAlignment="1">
      <alignment horizontal="center" vertical="center"/>
    </xf>
    <xf numFmtId="0" fontId="55" fillId="2" borderId="4" xfId="0" applyFont="1" applyFill="1" applyBorder="1" applyAlignment="1">
      <alignment horizontal="center" vertical="center"/>
    </xf>
    <xf numFmtId="0" fontId="55" fillId="2" borderId="36" xfId="0" applyFont="1" applyFill="1" applyBorder="1" applyAlignment="1">
      <alignment horizontal="center" vertical="center"/>
    </xf>
    <xf numFmtId="0" fontId="8" fillId="0" borderId="0" xfId="0" applyFont="1" applyAlignment="1">
      <alignment horizontal="right" vertical="center" wrapText="1" indent="1"/>
    </xf>
    <xf numFmtId="3" fontId="13" fillId="0" borderId="0" xfId="0" applyNumberFormat="1" applyFont="1" applyAlignment="1">
      <alignment horizontal="right" vertical="center" wrapText="1" indent="1"/>
    </xf>
    <xf numFmtId="166" fontId="13" fillId="0" borderId="0" xfId="0" applyNumberFormat="1" applyFont="1" applyAlignment="1">
      <alignment horizontal="right" vertical="center" wrapText="1" indent="1"/>
    </xf>
    <xf numFmtId="0" fontId="8" fillId="0" borderId="0" xfId="0" applyFont="1" applyAlignment="1">
      <alignment horizontal="right" vertical="center" indent="1"/>
    </xf>
    <xf numFmtId="3" fontId="8" fillId="0" borderId="0" xfId="0" applyNumberFormat="1" applyFont="1" applyAlignment="1">
      <alignment horizontal="right" vertical="center" wrapText="1" indent="1"/>
    </xf>
    <xf numFmtId="0" fontId="0" fillId="2" borderId="0" xfId="0" applyFill="1" applyAlignment="1">
      <alignment horizontal="left" vertical="top" wrapText="1" indent="1"/>
    </xf>
    <xf numFmtId="0" fontId="47" fillId="2" borderId="0" xfId="0" applyFont="1" applyFill="1" applyAlignment="1">
      <alignment horizontal="left" wrapText="1" indent="1"/>
    </xf>
    <xf numFmtId="0" fontId="2" fillId="0" borderId="0" xfId="0" applyFont="1" applyAlignment="1">
      <alignment horizontal="left" indent="1"/>
    </xf>
    <xf numFmtId="3" fontId="8" fillId="0" borderId="0" xfId="0" applyNumberFormat="1" applyFont="1" applyAlignment="1">
      <alignment horizontal="right" vertical="center" indent="9"/>
    </xf>
    <xf numFmtId="0" fontId="15" fillId="0" borderId="4" xfId="0" applyFont="1" applyBorder="1" applyAlignment="1">
      <alignment horizontal="center" vertical="center"/>
    </xf>
    <xf numFmtId="0" fontId="25" fillId="0" borderId="0" xfId="0" applyFont="1" applyAlignment="1">
      <alignment horizontal="left" vertical="center" wrapText="1" indent="1"/>
    </xf>
    <xf numFmtId="0" fontId="39" fillId="0" borderId="0" xfId="0" applyFont="1" applyAlignment="1">
      <alignment horizontal="left" vertical="center" wrapText="1" indent="1"/>
    </xf>
    <xf numFmtId="0" fontId="20" fillId="0" borderId="3" xfId="0" applyFont="1" applyBorder="1" applyAlignment="1">
      <alignment horizontal="center" vertical="center"/>
    </xf>
    <xf numFmtId="0" fontId="7" fillId="2" borderId="0" xfId="1" applyFont="1" applyFill="1" applyAlignment="1">
      <alignment horizontal="left" vertical="top" wrapText="1" indent="1"/>
    </xf>
    <xf numFmtId="0" fontId="23" fillId="0" borderId="4" xfId="1" applyFont="1" applyBorder="1" applyAlignment="1">
      <alignment horizontal="center" vertical="center"/>
    </xf>
    <xf numFmtId="3" fontId="8" fillId="0" borderId="0" xfId="0" applyNumberFormat="1" applyFont="1" applyAlignment="1">
      <alignment horizontal="right" vertical="center" indent="1"/>
    </xf>
    <xf numFmtId="4" fontId="8" fillId="0" borderId="0" xfId="0" applyNumberFormat="1" applyFont="1" applyAlignment="1">
      <alignment horizontal="right" vertical="center" wrapText="1" indent="1"/>
    </xf>
    <xf numFmtId="0" fontId="25" fillId="0" borderId="0" xfId="0" applyFont="1" applyAlignment="1">
      <alignment horizontal="center" vertical="center" wrapText="1"/>
    </xf>
    <xf numFmtId="0" fontId="56" fillId="0" borderId="0" xfId="0" applyFont="1" applyAlignment="1">
      <alignment horizontal="center" vertical="center" wrapText="1"/>
    </xf>
    <xf numFmtId="0" fontId="2" fillId="0" borderId="0" xfId="0" applyFont="1" applyAlignment="1">
      <alignment horizontal="center"/>
    </xf>
    <xf numFmtId="0" fontId="47" fillId="2" borderId="0" xfId="0" applyFont="1" applyFill="1" applyAlignment="1">
      <alignment horizontal="left" vertical="center" wrapText="1"/>
    </xf>
    <xf numFmtId="0" fontId="28" fillId="0" borderId="0" xfId="1" applyFont="1" applyBorder="1" applyAlignment="1">
      <alignment horizontal="center" vertical="center"/>
    </xf>
    <xf numFmtId="0" fontId="15" fillId="0" borderId="0" xfId="0" applyFont="1" applyAlignment="1">
      <alignment horizontal="center" vertical="center"/>
    </xf>
    <xf numFmtId="0" fontId="2" fillId="0" borderId="0" xfId="0" applyFont="1" applyAlignment="1">
      <alignment horizontal="center" vertical="center"/>
    </xf>
    <xf numFmtId="0" fontId="47" fillId="2" borderId="0" xfId="0" applyFont="1" applyFill="1" applyAlignment="1">
      <alignment horizontal="left" vertical="center"/>
    </xf>
    <xf numFmtId="0" fontId="7" fillId="2" borderId="0" xfId="1" applyFont="1" applyFill="1" applyAlignment="1">
      <alignment horizontal="left" vertical="center" wrapText="1"/>
    </xf>
    <xf numFmtId="0" fontId="7" fillId="2" borderId="0" xfId="1" applyFont="1" applyFill="1" applyAlignment="1">
      <alignment horizontal="left" vertical="center"/>
    </xf>
    <xf numFmtId="0" fontId="2" fillId="0" borderId="0" xfId="0" applyFont="1" applyAlignment="1">
      <alignment horizontal="left" vertical="center" indent="1"/>
    </xf>
    <xf numFmtId="0" fontId="25" fillId="0" borderId="0" xfId="0" applyFont="1" applyAlignment="1">
      <alignment horizontal="left" vertical="center" wrapText="1" indent="4"/>
    </xf>
    <xf numFmtId="0" fontId="56" fillId="0" borderId="0" xfId="0" applyFont="1" applyAlignment="1">
      <alignment horizontal="left" vertical="center" wrapText="1" indent="4"/>
    </xf>
    <xf numFmtId="0" fontId="59" fillId="2" borderId="41" xfId="0" applyFont="1" applyFill="1" applyBorder="1" applyAlignment="1">
      <alignment horizontal="center" vertical="center"/>
    </xf>
    <xf numFmtId="0" fontId="47" fillId="2" borderId="0" xfId="0" applyFont="1" applyFill="1" applyAlignment="1">
      <alignment horizontal="left" vertical="center" wrapText="1" indent="1"/>
    </xf>
    <xf numFmtId="0" fontId="7" fillId="2" borderId="0" xfId="1" applyFont="1" applyFill="1" applyAlignment="1">
      <alignment horizontal="left" vertical="center" wrapText="1" indent="1"/>
    </xf>
    <xf numFmtId="0" fontId="0" fillId="0" borderId="0" xfId="0" applyAlignment="1">
      <alignment horizontal="center" vertical="center"/>
    </xf>
    <xf numFmtId="0" fontId="25" fillId="0" borderId="0" xfId="0" applyFont="1" applyAlignment="1">
      <alignment horizontal="left" vertical="center" wrapText="1" indent="5"/>
    </xf>
    <xf numFmtId="0" fontId="56" fillId="0" borderId="0" xfId="0" applyFont="1" applyAlignment="1">
      <alignment horizontal="left" vertical="center" wrapText="1" indent="5"/>
    </xf>
    <xf numFmtId="0" fontId="14" fillId="4" borderId="17"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2" fillId="3" borderId="9" xfId="0" applyFont="1" applyFill="1" applyBorder="1" applyAlignment="1">
      <alignment horizontal="center" vertical="center"/>
    </xf>
    <xf numFmtId="0" fontId="2" fillId="3" borderId="16"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3" borderId="13" xfId="0" applyFont="1" applyFill="1" applyBorder="1" applyAlignment="1">
      <alignment horizontal="center" vertical="center"/>
    </xf>
    <xf numFmtId="0" fontId="4" fillId="3" borderId="14"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20" fillId="0" borderId="0" xfId="0" applyFont="1" applyAlignment="1">
      <alignment horizontal="center" vertical="center"/>
    </xf>
    <xf numFmtId="0" fontId="16" fillId="0" borderId="0" xfId="0" applyFont="1" applyAlignment="1">
      <alignment horizontal="center" vertical="center" wrapText="1"/>
    </xf>
    <xf numFmtId="0" fontId="3" fillId="0" borderId="0" xfId="0" applyFont="1" applyAlignment="1">
      <alignment horizontal="center" vertical="center" wrapText="1"/>
    </xf>
    <xf numFmtId="0" fontId="5" fillId="3" borderId="11" xfId="0" applyFont="1" applyFill="1" applyBorder="1" applyAlignment="1">
      <alignment horizontal="center" vertical="center"/>
    </xf>
    <xf numFmtId="0" fontId="5" fillId="3" borderId="5" xfId="0" applyFont="1" applyFill="1" applyBorder="1" applyAlignment="1">
      <alignment horizontal="center" vertical="center"/>
    </xf>
    <xf numFmtId="0" fontId="9" fillId="3" borderId="12"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7" xfId="0" applyFont="1" applyFill="1" applyBorder="1" applyAlignment="1">
      <alignment horizontal="center" vertical="center"/>
    </xf>
    <xf numFmtId="164" fontId="12" fillId="2" borderId="0" xfId="0" applyNumberFormat="1" applyFont="1" applyFill="1" applyAlignment="1">
      <alignment horizontal="center" vertical="center"/>
    </xf>
    <xf numFmtId="164" fontId="10" fillId="2" borderId="0" xfId="0" applyNumberFormat="1" applyFont="1" applyFill="1" applyAlignment="1">
      <alignment horizontal="center" vertical="center"/>
    </xf>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0" xfId="0" applyFont="1" applyFill="1" applyAlignment="1">
      <alignment horizontal="center" vertical="center"/>
    </xf>
    <xf numFmtId="0" fontId="9" fillId="3" borderId="0" xfId="0" applyFont="1" applyFill="1" applyAlignment="1">
      <alignment horizontal="center" vertical="center"/>
    </xf>
    <xf numFmtId="164" fontId="30" fillId="2" borderId="0" xfId="0" applyNumberFormat="1" applyFont="1" applyFill="1" applyAlignment="1">
      <alignment horizontal="center" vertical="center"/>
    </xf>
    <xf numFmtId="164" fontId="32" fillId="2" borderId="0" xfId="0" applyNumberFormat="1"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BEF"/>
      <color rgb="FF806000"/>
      <color rgb="FF745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47625</xdr:colOff>
      <xdr:row>3</xdr:row>
      <xdr:rowOff>57150</xdr:rowOff>
    </xdr:from>
    <xdr:to>
      <xdr:col>5</xdr:col>
      <xdr:colOff>981075</xdr:colOff>
      <xdr:row>8</xdr:row>
      <xdr:rowOff>144780</xdr:rowOff>
    </xdr:to>
    <xdr:grpSp>
      <xdr:nvGrpSpPr>
        <xdr:cNvPr id="13318" name="Group 2">
          <a:extLst>
            <a:ext uri="{FF2B5EF4-FFF2-40B4-BE49-F238E27FC236}">
              <a16:creationId xmlns:a16="http://schemas.microsoft.com/office/drawing/2014/main" id="{00000000-0008-0000-0200-000006340000}"/>
            </a:ext>
          </a:extLst>
        </xdr:cNvPr>
        <xdr:cNvGrpSpPr>
          <a:grpSpLocks/>
        </xdr:cNvGrpSpPr>
      </xdr:nvGrpSpPr>
      <xdr:grpSpPr bwMode="auto">
        <a:xfrm>
          <a:off x="638175" y="1571625"/>
          <a:ext cx="5010150" cy="1135380"/>
          <a:chOff x="0" y="19345"/>
          <a:chExt cx="3584338" cy="1152943"/>
        </a:xfrm>
      </xdr:grpSpPr>
      <xdr:pic>
        <xdr:nvPicPr>
          <xdr:cNvPr id="6" name="Picture 2" descr="Armenian dram currency symbol Royalty Free Vector Image">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8308"/>
          <a:stretch>
            <a:fillRect/>
          </a:stretch>
        </xdr:blipFill>
        <xdr:spPr bwMode="auto">
          <a:xfrm>
            <a:off x="0" y="257888"/>
            <a:ext cx="735229" cy="727198"/>
          </a:xfrm>
          <a:prstGeom prst="rect">
            <a:avLst/>
          </a:prstGeom>
          <a:solidFill>
            <a:schemeClr val="bg1">
              <a:lumMod val="85000"/>
            </a:schemeClr>
          </a:solidFill>
          <a:ln>
            <a:noFill/>
          </a:ln>
          <a:extLst>
            <a:ext uri="{91240B29-F687-4F45-9708-019B960494DF}">
              <a14:hiddenLine xmlns:a14="http://schemas.microsoft.com/office/drawing/2010/main" w="9525">
                <a:solidFill>
                  <a:srgbClr val="000000"/>
                </a:solidFill>
                <a:miter lim="800000"/>
                <a:headEnd/>
                <a:tailEnd/>
              </a14:hiddenLine>
            </a:ext>
          </a:extLst>
        </xdr:spPr>
      </xdr:pic>
      <xdr:pic>
        <xdr:nvPicPr>
          <xdr:cNvPr id="7" name="Picture 4" descr="Quality modern graphic design us dollar sign logo Vector Image">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2" b="7703"/>
          <a:stretch>
            <a:fillRect/>
          </a:stretch>
        </xdr:blipFill>
        <xdr:spPr bwMode="auto">
          <a:xfrm>
            <a:off x="832049" y="157061"/>
            <a:ext cx="918428" cy="914400"/>
          </a:xfrm>
          <a:prstGeom prst="rect">
            <a:avLst/>
          </a:prstGeom>
          <a:solidFill>
            <a:schemeClr val="bg1">
              <a:lumMod val="95000"/>
            </a:schemeClr>
          </a:solidFill>
          <a:ln>
            <a:noFill/>
          </a:ln>
          <a:extLst>
            <a:ext uri="{91240B29-F687-4F45-9708-019B960494DF}">
              <a14:hiddenLine xmlns:a14="http://schemas.microsoft.com/office/drawing/2010/main" w="9525">
                <a:solidFill>
                  <a:srgbClr val="000000"/>
                </a:solidFill>
                <a:miter lim="800000"/>
                <a:headEnd/>
                <a:tailEnd/>
              </a14:hiddenLine>
            </a:ext>
          </a:extLst>
        </xdr:spPr>
      </xdr:pic>
      <xdr:pic>
        <xdr:nvPicPr>
          <xdr:cNvPr id="8" name="Picture 5" descr="Euro Sign Related Vector Glyph Icon Stock Illustration - Download Image Now  - Euro Symbol, European Union Currency, Icon - iStock">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48202" y="19345"/>
            <a:ext cx="1152943" cy="11529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Picture 6" descr="Russian Ruble Currency Symbol with Flag of Russia Stock Vector -  Illustration of saving, government: 154254524">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669938" y="175835"/>
            <a:ext cx="91440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1142005</xdr:colOff>
      <xdr:row>3</xdr:row>
      <xdr:rowOff>28576</xdr:rowOff>
    </xdr:from>
    <xdr:to>
      <xdr:col>5</xdr:col>
      <xdr:colOff>36022</xdr:colOff>
      <xdr:row>3</xdr:row>
      <xdr:rowOff>323850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4761505" y="1457326"/>
          <a:ext cx="275142" cy="2952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247649</xdr:colOff>
      <xdr:row>3</xdr:row>
      <xdr:rowOff>171449</xdr:rowOff>
    </xdr:from>
    <xdr:to>
      <xdr:col>3</xdr:col>
      <xdr:colOff>1028699</xdr:colOff>
      <xdr:row>8</xdr:row>
      <xdr:rowOff>76200</xdr:rowOff>
    </xdr:to>
    <xdr:pic>
      <xdr:nvPicPr>
        <xdr:cNvPr id="7" name="Picture 2">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1">
          <a:duotone>
            <a:schemeClr val="accent4">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971674" y="1314449"/>
          <a:ext cx="2162175" cy="1009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3</xdr:row>
      <xdr:rowOff>47626</xdr:rowOff>
    </xdr:from>
    <xdr:to>
      <xdr:col>1</xdr:col>
      <xdr:colOff>419100</xdr:colOff>
      <xdr:row>4</xdr:row>
      <xdr:rowOff>200026</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2"/>
        <a:stretch>
          <a:fillRect/>
        </a:stretch>
      </xdr:blipFill>
      <xdr:spPr>
        <a:xfrm>
          <a:off x="619125" y="1285876"/>
          <a:ext cx="390525" cy="419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BCD2-E777-484F-9B1C-712A953E089F}">
  <dimension ref="A1:H92"/>
  <sheetViews>
    <sheetView tabSelected="1" zoomScale="98" zoomScaleNormal="98" workbookViewId="0">
      <pane xSplit="7" ySplit="7" topLeftCell="H8" activePane="bottomRight" state="frozen"/>
      <selection pane="topRight" activeCell="H1" sqref="H1"/>
      <selection pane="bottomLeft" activeCell="A8" sqref="A8"/>
      <selection pane="bottomRight" activeCell="K1" sqref="K1"/>
    </sheetView>
  </sheetViews>
  <sheetFormatPr defaultColWidth="8.85546875" defaultRowHeight="16.5" x14ac:dyDescent="0.3"/>
  <cols>
    <col min="1" max="1" width="8.85546875" style="10"/>
    <col min="2" max="2" width="17.28515625" style="10" customWidth="1"/>
    <col min="3" max="3" width="20.42578125" style="10" customWidth="1"/>
    <col min="4" max="4" width="18.85546875" style="10" customWidth="1"/>
    <col min="5" max="5" width="16" style="10" customWidth="1"/>
    <col min="6" max="6" width="14.42578125" style="10" customWidth="1"/>
    <col min="7" max="7" width="16" style="10" customWidth="1"/>
    <col min="8" max="16384" width="8.85546875" style="10"/>
  </cols>
  <sheetData>
    <row r="1" spans="1:7" ht="33.6" customHeight="1" x14ac:dyDescent="0.3">
      <c r="A1" s="58"/>
      <c r="B1" s="136" t="s">
        <v>98</v>
      </c>
      <c r="C1" s="136"/>
      <c r="D1" s="136"/>
      <c r="E1" s="136"/>
      <c r="F1" s="136"/>
      <c r="G1" s="136"/>
    </row>
    <row r="2" spans="1:7" ht="27.75" customHeight="1" x14ac:dyDescent="0.3">
      <c r="A2" s="90"/>
      <c r="B2" s="137" t="s">
        <v>99</v>
      </c>
      <c r="C2" s="137"/>
      <c r="D2" s="137"/>
      <c r="E2" s="137"/>
      <c r="F2" s="137"/>
      <c r="G2" s="137"/>
    </row>
    <row r="3" spans="1:7" ht="33.6" customHeight="1" x14ac:dyDescent="0.3">
      <c r="A3" s="90"/>
      <c r="B3" s="137" t="s">
        <v>100</v>
      </c>
      <c r="C3" s="137"/>
      <c r="D3" s="137"/>
      <c r="E3" s="137"/>
      <c r="F3" s="137"/>
      <c r="G3" s="137"/>
    </row>
    <row r="4" spans="1:7" ht="33.75" customHeight="1" thickBot="1" x14ac:dyDescent="0.35">
      <c r="A4" s="91"/>
      <c r="B4" s="138" t="s">
        <v>147</v>
      </c>
      <c r="C4" s="138"/>
      <c r="D4" s="138"/>
      <c r="E4" s="138"/>
      <c r="F4" s="138"/>
      <c r="G4" s="138"/>
    </row>
    <row r="5" spans="1:7" ht="43.5" customHeight="1" x14ac:dyDescent="0.3">
      <c r="A5" s="123">
        <v>1</v>
      </c>
      <c r="B5" s="120"/>
      <c r="C5" s="64" t="s">
        <v>50</v>
      </c>
      <c r="D5" s="65" t="s">
        <v>30</v>
      </c>
      <c r="E5" s="66" t="s">
        <v>48</v>
      </c>
      <c r="F5" s="66" t="s">
        <v>49</v>
      </c>
      <c r="G5" s="67" t="s">
        <v>25</v>
      </c>
    </row>
    <row r="6" spans="1:7" ht="39.75" customHeight="1" x14ac:dyDescent="0.3">
      <c r="A6" s="124"/>
      <c r="B6" s="121"/>
      <c r="C6" s="72" t="s">
        <v>92</v>
      </c>
      <c r="D6" s="73" t="s">
        <v>93</v>
      </c>
      <c r="E6" s="74" t="s">
        <v>51</v>
      </c>
      <c r="F6" s="74" t="s">
        <v>52</v>
      </c>
      <c r="G6" s="75" t="s">
        <v>94</v>
      </c>
    </row>
    <row r="7" spans="1:7" ht="60.75" customHeight="1" thickBot="1" x14ac:dyDescent="0.35">
      <c r="A7" s="125"/>
      <c r="B7" s="122"/>
      <c r="C7" s="68" t="s">
        <v>53</v>
      </c>
      <c r="D7" s="69" t="s">
        <v>54</v>
      </c>
      <c r="E7" s="70" t="s">
        <v>57</v>
      </c>
      <c r="F7" s="70" t="s">
        <v>55</v>
      </c>
      <c r="G7" s="71" t="s">
        <v>56</v>
      </c>
    </row>
    <row r="8" spans="1:7" x14ac:dyDescent="0.3">
      <c r="A8" s="63"/>
      <c r="B8" s="59">
        <v>1980</v>
      </c>
      <c r="C8" s="96" t="s">
        <v>23</v>
      </c>
      <c r="D8" s="97">
        <v>163</v>
      </c>
      <c r="E8" s="97">
        <v>104.5</v>
      </c>
      <c r="F8" s="97" t="s">
        <v>23</v>
      </c>
      <c r="G8" s="97" t="s">
        <v>23</v>
      </c>
    </row>
    <row r="9" spans="1:7" x14ac:dyDescent="0.3">
      <c r="A9" s="47"/>
      <c r="B9" s="60">
        <v>1981</v>
      </c>
      <c r="C9" s="98" t="s">
        <v>23</v>
      </c>
      <c r="D9" s="99">
        <v>166</v>
      </c>
      <c r="E9" s="99">
        <v>101.8</v>
      </c>
      <c r="F9" s="99" t="s">
        <v>23</v>
      </c>
      <c r="G9" s="99" t="s">
        <v>23</v>
      </c>
    </row>
    <row r="10" spans="1:7" x14ac:dyDescent="0.3">
      <c r="A10" s="47"/>
      <c r="B10" s="60">
        <v>1982</v>
      </c>
      <c r="C10" s="98" t="s">
        <v>23</v>
      </c>
      <c r="D10" s="99">
        <v>170</v>
      </c>
      <c r="E10" s="99">
        <v>102.4</v>
      </c>
      <c r="F10" s="99" t="s">
        <v>23</v>
      </c>
      <c r="G10" s="99" t="s">
        <v>23</v>
      </c>
    </row>
    <row r="11" spans="1:7" x14ac:dyDescent="0.3">
      <c r="A11" s="47"/>
      <c r="B11" s="60">
        <v>1983</v>
      </c>
      <c r="C11" s="98" t="s">
        <v>23</v>
      </c>
      <c r="D11" s="99">
        <v>172</v>
      </c>
      <c r="E11" s="99">
        <v>101.2</v>
      </c>
      <c r="F11" s="99" t="s">
        <v>23</v>
      </c>
      <c r="G11" s="99" t="s">
        <v>23</v>
      </c>
    </row>
    <row r="12" spans="1:7" x14ac:dyDescent="0.3">
      <c r="A12" s="47"/>
      <c r="B12" s="60">
        <v>1984</v>
      </c>
      <c r="C12" s="98" t="s">
        <v>23</v>
      </c>
      <c r="D12" s="99">
        <v>177</v>
      </c>
      <c r="E12" s="99">
        <v>102.9</v>
      </c>
      <c r="F12" s="99" t="s">
        <v>23</v>
      </c>
      <c r="G12" s="99" t="s">
        <v>23</v>
      </c>
    </row>
    <row r="13" spans="1:7" x14ac:dyDescent="0.3">
      <c r="A13" s="47"/>
      <c r="B13" s="46">
        <v>1985</v>
      </c>
      <c r="C13" s="98" t="s">
        <v>23</v>
      </c>
      <c r="D13" s="99">
        <v>180</v>
      </c>
      <c r="E13" s="99">
        <v>101.7</v>
      </c>
      <c r="F13" s="99" t="s">
        <v>23</v>
      </c>
      <c r="G13" s="99" t="s">
        <v>23</v>
      </c>
    </row>
    <row r="14" spans="1:7" x14ac:dyDescent="0.3">
      <c r="A14" s="47"/>
      <c r="B14" s="46">
        <v>1986</v>
      </c>
      <c r="C14" s="98" t="s">
        <v>23</v>
      </c>
      <c r="D14" s="99">
        <v>185</v>
      </c>
      <c r="E14" s="99">
        <v>102.3</v>
      </c>
      <c r="F14" s="99" t="s">
        <v>23</v>
      </c>
      <c r="G14" s="99" t="s">
        <v>23</v>
      </c>
    </row>
    <row r="15" spans="1:7" x14ac:dyDescent="0.3">
      <c r="A15" s="47"/>
      <c r="B15" s="46">
        <v>1987</v>
      </c>
      <c r="C15" s="98" t="s">
        <v>23</v>
      </c>
      <c r="D15" s="99">
        <v>191</v>
      </c>
      <c r="E15" s="99">
        <v>103.5</v>
      </c>
      <c r="F15" s="99" t="s">
        <v>23</v>
      </c>
      <c r="G15" s="99" t="s">
        <v>23</v>
      </c>
    </row>
    <row r="16" spans="1:7" x14ac:dyDescent="0.3">
      <c r="A16" s="47"/>
      <c r="B16" s="46">
        <v>1988</v>
      </c>
      <c r="C16" s="98" t="s">
        <v>23</v>
      </c>
      <c r="D16" s="99">
        <v>197</v>
      </c>
      <c r="E16" s="99">
        <v>103</v>
      </c>
      <c r="F16" s="99" t="s">
        <v>23</v>
      </c>
      <c r="G16" s="99" t="s">
        <v>23</v>
      </c>
    </row>
    <row r="17" spans="1:7" x14ac:dyDescent="0.3">
      <c r="A17" s="47"/>
      <c r="B17" s="46">
        <v>1989</v>
      </c>
      <c r="C17" s="98" t="s">
        <v>23</v>
      </c>
      <c r="D17" s="99">
        <v>220</v>
      </c>
      <c r="E17" s="99">
        <v>111.7</v>
      </c>
      <c r="F17" s="99">
        <v>101</v>
      </c>
      <c r="G17" s="99">
        <v>110.8</v>
      </c>
    </row>
    <row r="18" spans="1:7" x14ac:dyDescent="0.3">
      <c r="A18" s="47"/>
      <c r="B18" s="46">
        <v>1990</v>
      </c>
      <c r="C18" s="98" t="s">
        <v>23</v>
      </c>
      <c r="D18" s="99">
        <v>241</v>
      </c>
      <c r="E18" s="99">
        <v>109.6</v>
      </c>
      <c r="F18" s="99">
        <v>107.8</v>
      </c>
      <c r="G18" s="99">
        <v>101.4</v>
      </c>
    </row>
    <row r="19" spans="1:7" x14ac:dyDescent="0.3">
      <c r="A19" s="47"/>
      <c r="B19" s="46">
        <v>1991</v>
      </c>
      <c r="C19" s="98" t="s">
        <v>23</v>
      </c>
      <c r="D19" s="126">
        <v>337</v>
      </c>
      <c r="E19" s="126">
        <v>139.80000000000001</v>
      </c>
      <c r="F19" s="126">
        <v>274.10000000000002</v>
      </c>
      <c r="G19" s="126">
        <v>51</v>
      </c>
    </row>
    <row r="20" spans="1:7" x14ac:dyDescent="0.3">
      <c r="A20" s="47"/>
      <c r="B20" s="61" t="s">
        <v>58</v>
      </c>
      <c r="C20" s="98"/>
      <c r="D20" s="126"/>
      <c r="E20" s="126"/>
      <c r="F20" s="126"/>
      <c r="G20" s="126"/>
    </row>
    <row r="21" spans="1:7" x14ac:dyDescent="0.3">
      <c r="A21" s="47"/>
      <c r="B21" s="61" t="s">
        <v>59</v>
      </c>
      <c r="C21" s="98">
        <v>135</v>
      </c>
      <c r="D21" s="126"/>
      <c r="E21" s="126"/>
      <c r="F21" s="126"/>
      <c r="G21" s="126"/>
    </row>
    <row r="22" spans="1:7" x14ac:dyDescent="0.3">
      <c r="A22" s="47"/>
      <c r="B22" s="46">
        <v>1992</v>
      </c>
      <c r="C22" s="98"/>
      <c r="D22" s="130">
        <v>1395</v>
      </c>
      <c r="E22" s="126">
        <v>413.9</v>
      </c>
      <c r="F22" s="126">
        <v>828.7</v>
      </c>
      <c r="G22" s="126">
        <v>49.9</v>
      </c>
    </row>
    <row r="23" spans="1:7" x14ac:dyDescent="0.3">
      <c r="A23" s="47"/>
      <c r="B23" s="62" t="s">
        <v>60</v>
      </c>
      <c r="C23" s="98">
        <v>280</v>
      </c>
      <c r="D23" s="130"/>
      <c r="E23" s="126"/>
      <c r="F23" s="126"/>
      <c r="G23" s="126"/>
    </row>
    <row r="24" spans="1:7" x14ac:dyDescent="0.3">
      <c r="A24" s="47"/>
      <c r="B24" s="62" t="s">
        <v>62</v>
      </c>
      <c r="C24" s="98">
        <v>364</v>
      </c>
      <c r="D24" s="130"/>
      <c r="E24" s="126"/>
      <c r="F24" s="126"/>
      <c r="G24" s="126"/>
    </row>
    <row r="25" spans="1:7" x14ac:dyDescent="0.3">
      <c r="A25" s="47"/>
      <c r="B25" s="62" t="s">
        <v>64</v>
      </c>
      <c r="C25" s="98">
        <v>600</v>
      </c>
      <c r="D25" s="130"/>
      <c r="E25" s="126"/>
      <c r="F25" s="126"/>
      <c r="G25" s="126"/>
    </row>
    <row r="26" spans="1:7" x14ac:dyDescent="0.3">
      <c r="A26" s="47"/>
      <c r="B26" s="62" t="s">
        <v>66</v>
      </c>
      <c r="C26" s="98">
        <v>1200</v>
      </c>
      <c r="D26" s="130"/>
      <c r="E26" s="126"/>
      <c r="F26" s="126"/>
      <c r="G26" s="126"/>
    </row>
    <row r="27" spans="1:7" x14ac:dyDescent="0.3">
      <c r="A27" s="47"/>
      <c r="B27" s="60">
        <v>1993</v>
      </c>
      <c r="C27" s="98"/>
      <c r="D27" s="127">
        <v>12173</v>
      </c>
      <c r="E27" s="126">
        <v>842.6</v>
      </c>
      <c r="F27" s="142">
        <v>1922.9</v>
      </c>
      <c r="G27" s="126">
        <v>45.4</v>
      </c>
    </row>
    <row r="28" spans="1:7" x14ac:dyDescent="0.3">
      <c r="A28" s="47"/>
      <c r="B28" s="62" t="s">
        <v>61</v>
      </c>
      <c r="C28" s="98">
        <v>2000</v>
      </c>
      <c r="D28" s="127"/>
      <c r="E28" s="126"/>
      <c r="F28" s="142"/>
      <c r="G28" s="126"/>
    </row>
    <row r="29" spans="1:7" x14ac:dyDescent="0.3">
      <c r="A29" s="47"/>
      <c r="B29" s="62" t="s">
        <v>63</v>
      </c>
      <c r="C29" s="98">
        <v>3000</v>
      </c>
      <c r="D29" s="127"/>
      <c r="E29" s="126"/>
      <c r="F29" s="142"/>
      <c r="G29" s="126"/>
    </row>
    <row r="30" spans="1:7" x14ac:dyDescent="0.3">
      <c r="A30" s="47"/>
      <c r="B30" s="62" t="s">
        <v>65</v>
      </c>
      <c r="C30" s="98">
        <v>4200</v>
      </c>
      <c r="D30" s="127"/>
      <c r="E30" s="126"/>
      <c r="F30" s="142"/>
      <c r="G30" s="126"/>
    </row>
    <row r="31" spans="1:7" x14ac:dyDescent="0.3">
      <c r="A31" s="47"/>
      <c r="B31" s="62" t="s">
        <v>70</v>
      </c>
      <c r="C31" s="98">
        <v>7350</v>
      </c>
      <c r="D31" s="127"/>
      <c r="E31" s="126"/>
      <c r="F31" s="142"/>
      <c r="G31" s="126"/>
    </row>
    <row r="32" spans="1:7" x14ac:dyDescent="0.3">
      <c r="A32" s="47"/>
      <c r="B32" s="46">
        <v>1994</v>
      </c>
      <c r="C32" s="129">
        <v>110</v>
      </c>
      <c r="D32" s="127">
        <v>1748</v>
      </c>
      <c r="E32" s="128">
        <v>2865.6</v>
      </c>
      <c r="F32" s="128">
        <v>5062.3</v>
      </c>
      <c r="G32" s="128">
        <v>57.4</v>
      </c>
    </row>
    <row r="33" spans="1:7" x14ac:dyDescent="0.3">
      <c r="A33" s="47"/>
      <c r="B33" s="62" t="s">
        <v>67</v>
      </c>
      <c r="C33" s="129"/>
      <c r="D33" s="127"/>
      <c r="E33" s="128"/>
      <c r="F33" s="128"/>
      <c r="G33" s="128"/>
    </row>
    <row r="34" spans="1:7" x14ac:dyDescent="0.3">
      <c r="A34" s="47"/>
      <c r="B34" s="62" t="s">
        <v>68</v>
      </c>
      <c r="C34" s="98">
        <v>176</v>
      </c>
      <c r="D34" s="127"/>
      <c r="E34" s="128"/>
      <c r="F34" s="128"/>
      <c r="G34" s="128"/>
    </row>
    <row r="35" spans="1:7" x14ac:dyDescent="0.3">
      <c r="A35" s="47"/>
      <c r="B35" s="62" t="s">
        <v>69</v>
      </c>
      <c r="C35" s="98">
        <v>230</v>
      </c>
      <c r="D35" s="127"/>
      <c r="E35" s="128"/>
      <c r="F35" s="128"/>
      <c r="G35" s="128"/>
    </row>
    <row r="36" spans="1:7" x14ac:dyDescent="0.3">
      <c r="A36" s="47"/>
      <c r="B36" s="62" t="s">
        <v>73</v>
      </c>
      <c r="C36" s="98">
        <v>375</v>
      </c>
      <c r="D36" s="127"/>
      <c r="E36" s="128"/>
      <c r="F36" s="128"/>
      <c r="G36" s="128"/>
    </row>
    <row r="37" spans="1:7" x14ac:dyDescent="0.3">
      <c r="A37" s="47"/>
      <c r="B37" s="46">
        <v>1995</v>
      </c>
      <c r="C37" s="98"/>
      <c r="D37" s="101"/>
      <c r="E37" s="102"/>
      <c r="F37" s="102"/>
      <c r="G37" s="102"/>
    </row>
    <row r="38" spans="1:7" x14ac:dyDescent="0.3">
      <c r="A38" s="47"/>
      <c r="B38" s="62" t="s">
        <v>71</v>
      </c>
      <c r="C38" s="98">
        <v>475</v>
      </c>
      <c r="D38" s="127">
        <v>7060</v>
      </c>
      <c r="E38" s="118">
        <v>403.9</v>
      </c>
      <c r="F38" s="118">
        <v>276</v>
      </c>
      <c r="G38" s="118">
        <v>146.30000000000001</v>
      </c>
    </row>
    <row r="39" spans="1:7" x14ac:dyDescent="0.3">
      <c r="A39" s="47"/>
      <c r="B39" s="62" t="s">
        <v>72</v>
      </c>
      <c r="C39" s="98">
        <v>540</v>
      </c>
      <c r="D39" s="127"/>
      <c r="E39" s="118"/>
      <c r="F39" s="118"/>
      <c r="G39" s="118"/>
    </row>
    <row r="40" spans="1:7" x14ac:dyDescent="0.3">
      <c r="A40" s="47"/>
      <c r="B40" s="46">
        <v>1996</v>
      </c>
      <c r="C40" s="98"/>
      <c r="D40" s="127">
        <v>9469</v>
      </c>
      <c r="E40" s="118">
        <v>134.1</v>
      </c>
      <c r="F40" s="118">
        <v>118.7</v>
      </c>
      <c r="G40" s="118">
        <v>113</v>
      </c>
    </row>
    <row r="41" spans="1:7" x14ac:dyDescent="0.3">
      <c r="A41" s="47"/>
      <c r="B41" s="62" t="s">
        <v>74</v>
      </c>
      <c r="C41" s="98">
        <v>720</v>
      </c>
      <c r="D41" s="127"/>
      <c r="E41" s="118"/>
      <c r="F41" s="118"/>
      <c r="G41" s="118"/>
    </row>
    <row r="42" spans="1:7" x14ac:dyDescent="0.3">
      <c r="A42" s="47"/>
      <c r="B42" s="62" t="s">
        <v>75</v>
      </c>
      <c r="C42" s="98">
        <v>830</v>
      </c>
      <c r="D42" s="127"/>
      <c r="E42" s="118"/>
      <c r="F42" s="118"/>
      <c r="G42" s="118"/>
    </row>
    <row r="43" spans="1:7" x14ac:dyDescent="0.3">
      <c r="A43" s="47"/>
      <c r="B43" s="46">
        <v>1997</v>
      </c>
      <c r="C43" s="103">
        <v>1000</v>
      </c>
      <c r="D43" s="100">
        <v>13581</v>
      </c>
      <c r="E43" s="99">
        <v>143.4</v>
      </c>
      <c r="F43" s="99">
        <v>114</v>
      </c>
      <c r="G43" s="99">
        <v>125.8</v>
      </c>
    </row>
    <row r="44" spans="1:7" x14ac:dyDescent="0.3">
      <c r="A44" s="47"/>
      <c r="B44" s="46">
        <v>1998</v>
      </c>
      <c r="C44" s="103">
        <v>1000</v>
      </c>
      <c r="D44" s="100">
        <v>18000</v>
      </c>
      <c r="E44" s="99">
        <v>132.5</v>
      </c>
      <c r="F44" s="99">
        <v>108.7</v>
      </c>
      <c r="G44" s="99">
        <v>121.9</v>
      </c>
    </row>
    <row r="45" spans="1:7" x14ac:dyDescent="0.3">
      <c r="A45" s="47"/>
      <c r="B45" s="46">
        <v>1999</v>
      </c>
      <c r="C45" s="103">
        <v>5000</v>
      </c>
      <c r="D45" s="100">
        <v>20157</v>
      </c>
      <c r="E45" s="99">
        <v>112</v>
      </c>
      <c r="F45" s="99">
        <v>100.6</v>
      </c>
      <c r="G45" s="99">
        <v>111.3</v>
      </c>
    </row>
    <row r="46" spans="1:7" x14ac:dyDescent="0.3">
      <c r="A46" s="47"/>
      <c r="B46" s="46">
        <v>2000</v>
      </c>
      <c r="C46" s="103">
        <v>5000</v>
      </c>
      <c r="D46" s="100">
        <v>22706</v>
      </c>
      <c r="E46" s="99">
        <v>112.6</v>
      </c>
      <c r="F46" s="99">
        <v>99.2</v>
      </c>
      <c r="G46" s="99">
        <v>113.6</v>
      </c>
    </row>
    <row r="47" spans="1:7" x14ac:dyDescent="0.3">
      <c r="A47" s="47"/>
      <c r="B47" s="46">
        <v>2001</v>
      </c>
      <c r="C47" s="103">
        <v>5000</v>
      </c>
      <c r="D47" s="100">
        <v>24483</v>
      </c>
      <c r="E47" s="99">
        <v>107.8</v>
      </c>
      <c r="F47" s="99">
        <v>103.1</v>
      </c>
      <c r="G47" s="99">
        <v>104.6</v>
      </c>
    </row>
    <row r="48" spans="1:7" x14ac:dyDescent="0.3">
      <c r="A48" s="47"/>
      <c r="B48" s="46">
        <v>2002</v>
      </c>
      <c r="C48" s="103">
        <v>5000</v>
      </c>
      <c r="D48" s="100">
        <v>27324</v>
      </c>
      <c r="E48" s="99">
        <v>111.6</v>
      </c>
      <c r="F48" s="99">
        <v>101.1</v>
      </c>
      <c r="G48" s="99">
        <v>110.4</v>
      </c>
    </row>
    <row r="49" spans="1:7" x14ac:dyDescent="0.3">
      <c r="A49" s="47"/>
      <c r="B49" s="46">
        <v>2003</v>
      </c>
      <c r="C49" s="103">
        <v>5000</v>
      </c>
      <c r="D49" s="100">
        <v>34783</v>
      </c>
      <c r="E49" s="99">
        <v>127.3</v>
      </c>
      <c r="F49" s="99">
        <v>104.7</v>
      </c>
      <c r="G49" s="99">
        <v>121.6</v>
      </c>
    </row>
    <row r="50" spans="1:7" x14ac:dyDescent="0.3">
      <c r="A50" s="47"/>
      <c r="B50" s="46">
        <v>2004</v>
      </c>
      <c r="C50" s="103">
        <v>13000</v>
      </c>
      <c r="D50" s="100">
        <v>43445</v>
      </c>
      <c r="E50" s="99">
        <v>124.9</v>
      </c>
      <c r="F50" s="99">
        <v>107</v>
      </c>
      <c r="G50" s="99">
        <v>116.7</v>
      </c>
    </row>
    <row r="51" spans="1:7" x14ac:dyDescent="0.3">
      <c r="A51" s="47"/>
      <c r="B51" s="46">
        <v>2005</v>
      </c>
      <c r="C51" s="103">
        <v>13000</v>
      </c>
      <c r="D51" s="100">
        <v>52060</v>
      </c>
      <c r="E51" s="99">
        <v>119.8</v>
      </c>
      <c r="F51" s="99">
        <v>100.6</v>
      </c>
      <c r="G51" s="99">
        <v>119.1</v>
      </c>
    </row>
    <row r="52" spans="1:7" x14ac:dyDescent="0.3">
      <c r="A52" s="47"/>
      <c r="B52" s="46">
        <v>2006</v>
      </c>
      <c r="C52" s="103">
        <v>15000</v>
      </c>
      <c r="D52" s="100">
        <v>62293</v>
      </c>
      <c r="E52" s="99">
        <v>119.7</v>
      </c>
      <c r="F52" s="99">
        <v>102.9</v>
      </c>
      <c r="G52" s="99">
        <v>116.3</v>
      </c>
    </row>
    <row r="53" spans="1:7" x14ac:dyDescent="0.3">
      <c r="A53" s="47"/>
      <c r="B53" s="46">
        <v>2007</v>
      </c>
      <c r="C53" s="103">
        <v>20000</v>
      </c>
      <c r="D53" s="100">
        <v>74227</v>
      </c>
      <c r="E53" s="99">
        <v>119.2</v>
      </c>
      <c r="F53" s="99">
        <v>104.4</v>
      </c>
      <c r="G53" s="99">
        <v>114.1</v>
      </c>
    </row>
    <row r="54" spans="1:7" x14ac:dyDescent="0.3">
      <c r="A54" s="47"/>
      <c r="B54" s="46">
        <v>2008</v>
      </c>
      <c r="C54" s="103">
        <v>25000</v>
      </c>
      <c r="D54" s="100">
        <v>87406</v>
      </c>
      <c r="E54" s="99">
        <v>117.8</v>
      </c>
      <c r="F54" s="99">
        <v>109</v>
      </c>
      <c r="G54" s="99">
        <v>108</v>
      </c>
    </row>
    <row r="55" spans="1:7" x14ac:dyDescent="0.3">
      <c r="A55" s="47"/>
      <c r="B55" s="46">
        <v>2009</v>
      </c>
      <c r="C55" s="103">
        <v>30000</v>
      </c>
      <c r="D55" s="100">
        <v>96019</v>
      </c>
      <c r="E55" s="99">
        <v>109.9</v>
      </c>
      <c r="F55" s="99">
        <v>103.4</v>
      </c>
      <c r="G55" s="99">
        <v>106.2</v>
      </c>
    </row>
    <row r="56" spans="1:7" x14ac:dyDescent="0.3">
      <c r="A56" s="47"/>
      <c r="B56" s="46">
        <v>2010</v>
      </c>
      <c r="C56" s="103">
        <v>30000</v>
      </c>
      <c r="D56" s="100">
        <v>102652</v>
      </c>
      <c r="E56" s="99">
        <v>106.9</v>
      </c>
      <c r="F56" s="99">
        <v>108.2</v>
      </c>
      <c r="G56" s="99">
        <v>98.8</v>
      </c>
    </row>
    <row r="57" spans="1:7" x14ac:dyDescent="0.3">
      <c r="A57" s="47"/>
      <c r="B57" s="46">
        <v>2011</v>
      </c>
      <c r="C57" s="103">
        <v>32500</v>
      </c>
      <c r="D57" s="100">
        <v>108092</v>
      </c>
      <c r="E57" s="99">
        <v>105.3</v>
      </c>
      <c r="F57" s="99">
        <v>107.7</v>
      </c>
      <c r="G57" s="99">
        <v>97.8</v>
      </c>
    </row>
    <row r="58" spans="1:7" x14ac:dyDescent="0.3">
      <c r="A58" s="119">
        <v>2</v>
      </c>
      <c r="B58" s="140" t="s">
        <v>26</v>
      </c>
      <c r="C58" s="141">
        <v>32500</v>
      </c>
      <c r="D58" s="99" t="s">
        <v>24</v>
      </c>
      <c r="E58" s="99">
        <v>104.7</v>
      </c>
      <c r="F58" s="126">
        <v>102.6</v>
      </c>
      <c r="G58" s="99">
        <v>102</v>
      </c>
    </row>
    <row r="59" spans="1:7" x14ac:dyDescent="0.3">
      <c r="A59" s="119"/>
      <c r="B59" s="140"/>
      <c r="C59" s="141"/>
      <c r="D59" s="100">
        <v>140739</v>
      </c>
      <c r="E59" s="99" t="s">
        <v>23</v>
      </c>
      <c r="F59" s="126"/>
      <c r="G59" s="99" t="s">
        <v>23</v>
      </c>
    </row>
    <row r="60" spans="1:7" x14ac:dyDescent="0.3">
      <c r="A60" s="47"/>
      <c r="B60" s="46">
        <v>2013</v>
      </c>
      <c r="C60" s="104"/>
      <c r="D60" s="127">
        <v>146524</v>
      </c>
      <c r="E60" s="118">
        <v>104.1</v>
      </c>
      <c r="F60" s="118">
        <v>105.8</v>
      </c>
      <c r="G60" s="118">
        <v>98.4</v>
      </c>
    </row>
    <row r="61" spans="1:7" x14ac:dyDescent="0.3">
      <c r="A61" s="47"/>
      <c r="B61" s="62" t="s">
        <v>76</v>
      </c>
      <c r="C61" s="103">
        <v>35000</v>
      </c>
      <c r="D61" s="127"/>
      <c r="E61" s="118"/>
      <c r="F61" s="118"/>
      <c r="G61" s="118"/>
    </row>
    <row r="62" spans="1:7" x14ac:dyDescent="0.3">
      <c r="A62" s="47"/>
      <c r="B62" s="62" t="s">
        <v>77</v>
      </c>
      <c r="C62" s="103">
        <v>45000</v>
      </c>
      <c r="D62" s="127"/>
      <c r="E62" s="118"/>
      <c r="F62" s="118"/>
      <c r="G62" s="118"/>
    </row>
    <row r="63" spans="1:7" x14ac:dyDescent="0.3">
      <c r="A63" s="47"/>
      <c r="B63" s="46">
        <v>2014</v>
      </c>
      <c r="C63" s="103"/>
      <c r="D63" s="127">
        <v>158580</v>
      </c>
      <c r="E63" s="118">
        <v>108.2</v>
      </c>
      <c r="F63" s="118">
        <v>103</v>
      </c>
      <c r="G63" s="118">
        <v>105.1</v>
      </c>
    </row>
    <row r="64" spans="1:7" x14ac:dyDescent="0.3">
      <c r="A64" s="47"/>
      <c r="B64" s="62" t="s">
        <v>78</v>
      </c>
      <c r="C64" s="103">
        <v>45000</v>
      </c>
      <c r="D64" s="127"/>
      <c r="E64" s="118"/>
      <c r="F64" s="118"/>
      <c r="G64" s="118"/>
    </row>
    <row r="65" spans="1:8" x14ac:dyDescent="0.3">
      <c r="A65" s="47"/>
      <c r="B65" s="62" t="s">
        <v>79</v>
      </c>
      <c r="C65" s="103">
        <v>50000</v>
      </c>
      <c r="D65" s="127"/>
      <c r="E65" s="118"/>
      <c r="F65" s="118"/>
      <c r="G65" s="118"/>
    </row>
    <row r="66" spans="1:8" x14ac:dyDescent="0.3">
      <c r="A66" s="47"/>
      <c r="B66" s="46">
        <v>2015</v>
      </c>
      <c r="C66" s="98"/>
      <c r="D66" s="104"/>
      <c r="E66" s="104"/>
      <c r="F66" s="104"/>
      <c r="G66" s="104"/>
      <c r="H66" s="30"/>
    </row>
    <row r="67" spans="1:8" x14ac:dyDescent="0.3">
      <c r="A67" s="47"/>
      <c r="B67" s="62" t="s">
        <v>80</v>
      </c>
      <c r="C67" s="103">
        <v>50000</v>
      </c>
      <c r="D67" s="127">
        <v>171615</v>
      </c>
      <c r="E67" s="128">
        <v>108.2</v>
      </c>
      <c r="F67" s="128">
        <v>103.7</v>
      </c>
      <c r="G67" s="128">
        <v>104.4</v>
      </c>
    </row>
    <row r="68" spans="1:8" x14ac:dyDescent="0.3">
      <c r="A68" s="47"/>
      <c r="B68" s="62" t="s">
        <v>81</v>
      </c>
      <c r="C68" s="103">
        <v>55000</v>
      </c>
      <c r="D68" s="127"/>
      <c r="E68" s="128"/>
      <c r="F68" s="128"/>
      <c r="G68" s="128"/>
    </row>
    <row r="69" spans="1:8" x14ac:dyDescent="0.3">
      <c r="A69" s="47"/>
      <c r="B69" s="46">
        <v>2016</v>
      </c>
      <c r="C69" s="103">
        <v>55000</v>
      </c>
      <c r="D69" s="101">
        <v>174445</v>
      </c>
      <c r="E69" s="102">
        <v>101.6</v>
      </c>
      <c r="F69" s="102">
        <v>98.6</v>
      </c>
      <c r="G69" s="102">
        <v>103.1</v>
      </c>
    </row>
    <row r="70" spans="1:8" x14ac:dyDescent="0.3">
      <c r="A70" s="119">
        <v>3</v>
      </c>
      <c r="B70" s="135">
        <v>2017</v>
      </c>
      <c r="C70" s="134">
        <v>55000</v>
      </c>
      <c r="D70" s="99" t="s">
        <v>27</v>
      </c>
      <c r="E70" s="99">
        <v>101.9</v>
      </c>
      <c r="F70" s="105">
        <v>101</v>
      </c>
      <c r="G70" s="99">
        <v>100.9</v>
      </c>
    </row>
    <row r="71" spans="1:8" x14ac:dyDescent="0.3">
      <c r="A71" s="119"/>
      <c r="B71" s="135"/>
      <c r="C71" s="134"/>
      <c r="D71" s="106" t="s">
        <v>84</v>
      </c>
      <c r="E71" s="99" t="s">
        <v>28</v>
      </c>
      <c r="F71" s="99" t="s">
        <v>28</v>
      </c>
      <c r="G71" s="99" t="s">
        <v>23</v>
      </c>
    </row>
    <row r="72" spans="1:8" x14ac:dyDescent="0.3">
      <c r="A72" s="47"/>
      <c r="B72" s="46">
        <v>2018</v>
      </c>
      <c r="C72" s="103">
        <v>55000</v>
      </c>
      <c r="D72" s="102" t="s">
        <v>29</v>
      </c>
      <c r="E72" s="107">
        <v>104</v>
      </c>
      <c r="F72" s="102">
        <v>102.5</v>
      </c>
      <c r="G72" s="102">
        <v>101.5</v>
      </c>
    </row>
    <row r="73" spans="1:8" x14ac:dyDescent="0.3">
      <c r="A73" s="47"/>
      <c r="B73" s="46">
        <v>2019</v>
      </c>
      <c r="C73" s="103">
        <v>55000</v>
      </c>
      <c r="D73" s="101">
        <v>182673</v>
      </c>
      <c r="E73" s="102">
        <v>105.8</v>
      </c>
      <c r="F73" s="102">
        <v>101.4</v>
      </c>
      <c r="G73" s="102">
        <v>104.3</v>
      </c>
    </row>
    <row r="74" spans="1:8" x14ac:dyDescent="0.3">
      <c r="A74" s="47"/>
      <c r="B74" s="46">
        <v>2020</v>
      </c>
      <c r="C74" s="103">
        <v>68000</v>
      </c>
      <c r="D74" s="101">
        <v>189716</v>
      </c>
      <c r="E74" s="102">
        <v>103.9</v>
      </c>
      <c r="F74" s="102">
        <v>101.2</v>
      </c>
      <c r="G74" s="102">
        <v>102.6</v>
      </c>
    </row>
    <row r="75" spans="1:8" x14ac:dyDescent="0.3">
      <c r="A75" s="47"/>
      <c r="B75" s="46">
        <v>2021</v>
      </c>
      <c r="C75" s="103">
        <v>68000</v>
      </c>
      <c r="D75" s="101">
        <v>204048</v>
      </c>
      <c r="E75" s="102">
        <v>107.6</v>
      </c>
      <c r="F75" s="102">
        <v>107.2</v>
      </c>
      <c r="G75" s="102">
        <v>100.3</v>
      </c>
    </row>
    <row r="76" spans="1:8" x14ac:dyDescent="0.3">
      <c r="A76" s="47"/>
      <c r="B76" s="46">
        <v>2022</v>
      </c>
      <c r="C76" s="103">
        <v>68000</v>
      </c>
      <c r="D76" s="100">
        <v>235576</v>
      </c>
      <c r="E76" s="99">
        <v>115.5</v>
      </c>
      <c r="F76" s="99">
        <v>108.6</v>
      </c>
      <c r="G76" s="99">
        <v>106.3</v>
      </c>
    </row>
    <row r="77" spans="1:8" x14ac:dyDescent="0.3">
      <c r="A77" s="47"/>
      <c r="B77" s="46">
        <v>2023</v>
      </c>
      <c r="C77" s="103">
        <v>75000</v>
      </c>
      <c r="D77" s="100">
        <v>269994</v>
      </c>
      <c r="E77" s="99">
        <v>114.6</v>
      </c>
      <c r="F77" s="105">
        <v>102</v>
      </c>
      <c r="G77" s="99">
        <v>112.4</v>
      </c>
    </row>
    <row r="78" spans="1:8" x14ac:dyDescent="0.3">
      <c r="A78" s="47"/>
      <c r="B78" s="46">
        <v>2024</v>
      </c>
      <c r="C78" s="103">
        <v>75000</v>
      </c>
      <c r="D78" s="100">
        <v>287172</v>
      </c>
      <c r="E78" s="99">
        <v>106.4</v>
      </c>
      <c r="F78" s="99">
        <v>100.3</v>
      </c>
      <c r="G78" s="99">
        <v>106.1</v>
      </c>
    </row>
    <row r="79" spans="1:8" x14ac:dyDescent="0.3">
      <c r="A79" s="47"/>
      <c r="B79" s="46">
        <v>2025</v>
      </c>
      <c r="C79" s="103">
        <v>75000</v>
      </c>
      <c r="D79" s="100">
        <v>303140</v>
      </c>
      <c r="E79" s="99">
        <v>105.6</v>
      </c>
      <c r="F79" s="99">
        <v>103.3</v>
      </c>
      <c r="G79" s="99">
        <v>102.2</v>
      </c>
    </row>
    <row r="80" spans="1:8" x14ac:dyDescent="0.3">
      <c r="B80"/>
      <c r="C80"/>
      <c r="D80"/>
      <c r="E80"/>
      <c r="F80"/>
      <c r="G80"/>
    </row>
    <row r="81" spans="1:8" x14ac:dyDescent="0.3">
      <c r="B81"/>
      <c r="C81"/>
      <c r="D81"/>
      <c r="E81"/>
      <c r="F81"/>
      <c r="G81"/>
    </row>
    <row r="82" spans="1:8" s="32" customFormat="1" ht="19.5" customHeight="1" x14ac:dyDescent="0.3">
      <c r="A82" s="48">
        <v>1</v>
      </c>
      <c r="B82" s="82" t="s">
        <v>85</v>
      </c>
      <c r="C82" s="83"/>
      <c r="D82" s="83"/>
      <c r="E82" s="83"/>
      <c r="F82" s="83"/>
      <c r="G82" s="83"/>
      <c r="H82" s="31"/>
    </row>
    <row r="83" spans="1:8" s="32" customFormat="1" ht="60.75" customHeight="1" x14ac:dyDescent="0.3">
      <c r="A83" s="48">
        <v>2</v>
      </c>
      <c r="B83" s="139" t="s">
        <v>86</v>
      </c>
      <c r="C83" s="139"/>
      <c r="D83" s="139"/>
      <c r="E83" s="139"/>
      <c r="F83" s="139"/>
      <c r="G83" s="139"/>
      <c r="H83" s="31"/>
    </row>
    <row r="84" spans="1:8" s="31" customFormat="1" ht="57.75" customHeight="1" x14ac:dyDescent="0.25">
      <c r="A84" s="48">
        <v>3</v>
      </c>
      <c r="B84" s="139" t="s">
        <v>87</v>
      </c>
      <c r="C84" s="139"/>
      <c r="D84" s="139"/>
      <c r="E84" s="139"/>
      <c r="F84" s="139"/>
      <c r="G84" s="139"/>
    </row>
    <row r="85" spans="1:8" x14ac:dyDescent="0.3">
      <c r="B85" s="133"/>
      <c r="C85" s="133"/>
      <c r="D85" s="133"/>
      <c r="E85" s="133"/>
      <c r="F85" s="133"/>
      <c r="G85" s="133"/>
    </row>
    <row r="86" spans="1:8" x14ac:dyDescent="0.3">
      <c r="A86" s="48">
        <v>1</v>
      </c>
      <c r="B86" s="85" t="s">
        <v>82</v>
      </c>
      <c r="C86" s="86"/>
      <c r="D86" s="86"/>
      <c r="E86" s="86"/>
      <c r="F86" s="86"/>
      <c r="G86" s="86"/>
    </row>
    <row r="87" spans="1:8" ht="45" customHeight="1" x14ac:dyDescent="0.3">
      <c r="A87" s="48">
        <v>2</v>
      </c>
      <c r="B87" s="132" t="s">
        <v>90</v>
      </c>
      <c r="C87" s="132"/>
      <c r="D87" s="132"/>
      <c r="E87" s="132"/>
      <c r="F87" s="132"/>
      <c r="G87" s="132"/>
    </row>
    <row r="88" spans="1:8" ht="59.25" customHeight="1" x14ac:dyDescent="0.3">
      <c r="A88" s="48">
        <v>3</v>
      </c>
      <c r="B88" s="132" t="s">
        <v>91</v>
      </c>
      <c r="C88" s="132"/>
      <c r="D88" s="132"/>
      <c r="E88" s="132"/>
      <c r="F88" s="132"/>
      <c r="G88" s="132"/>
    </row>
    <row r="89" spans="1:8" x14ac:dyDescent="0.3">
      <c r="B89" s="87"/>
      <c r="C89" s="84"/>
      <c r="D89" s="84"/>
      <c r="E89" s="84"/>
      <c r="F89" s="84"/>
      <c r="G89" s="84"/>
    </row>
    <row r="90" spans="1:8" ht="21" customHeight="1" x14ac:dyDescent="0.3">
      <c r="A90" s="48">
        <v>1</v>
      </c>
      <c r="B90" s="88" t="s">
        <v>95</v>
      </c>
      <c r="C90" s="89"/>
      <c r="D90" s="89"/>
      <c r="E90" s="89"/>
      <c r="F90" s="89"/>
      <c r="G90" s="89"/>
    </row>
    <row r="91" spans="1:8" ht="62.25" customHeight="1" x14ac:dyDescent="0.3">
      <c r="A91" s="48">
        <v>2</v>
      </c>
      <c r="B91" s="131" t="s">
        <v>96</v>
      </c>
      <c r="C91" s="131"/>
      <c r="D91" s="131"/>
      <c r="E91" s="131"/>
      <c r="F91" s="131"/>
      <c r="G91" s="131"/>
    </row>
    <row r="92" spans="1:8" ht="69.75" customHeight="1" x14ac:dyDescent="0.3">
      <c r="A92" s="48">
        <v>3</v>
      </c>
      <c r="B92" s="131" t="s">
        <v>97</v>
      </c>
      <c r="C92" s="131"/>
      <c r="D92" s="131"/>
      <c r="E92" s="131"/>
      <c r="F92" s="131"/>
      <c r="G92" s="131"/>
    </row>
  </sheetData>
  <mergeCells count="57">
    <mergeCell ref="E27:E31"/>
    <mergeCell ref="F27:F31"/>
    <mergeCell ref="G27:G31"/>
    <mergeCell ref="D19:D21"/>
    <mergeCell ref="F22:F26"/>
    <mergeCell ref="E19:E21"/>
    <mergeCell ref="F19:F21"/>
    <mergeCell ref="G19:G21"/>
    <mergeCell ref="E22:E26"/>
    <mergeCell ref="B1:G1"/>
    <mergeCell ref="B2:G2"/>
    <mergeCell ref="B3:G3"/>
    <mergeCell ref="B4:G4"/>
    <mergeCell ref="B84:G84"/>
    <mergeCell ref="B83:G83"/>
    <mergeCell ref="D38:D39"/>
    <mergeCell ref="B58:B59"/>
    <mergeCell ref="C58:C59"/>
    <mergeCell ref="F58:F59"/>
    <mergeCell ref="D40:D42"/>
    <mergeCell ref="E40:E42"/>
    <mergeCell ref="F40:F42"/>
    <mergeCell ref="G40:G42"/>
    <mergeCell ref="E38:E39"/>
    <mergeCell ref="F38:F39"/>
    <mergeCell ref="D60:D62"/>
    <mergeCell ref="G60:G62"/>
    <mergeCell ref="B92:G92"/>
    <mergeCell ref="F60:F62"/>
    <mergeCell ref="B87:G87"/>
    <mergeCell ref="B88:G88"/>
    <mergeCell ref="B85:G85"/>
    <mergeCell ref="B91:G91"/>
    <mergeCell ref="C70:C71"/>
    <mergeCell ref="D67:D68"/>
    <mergeCell ref="E67:E68"/>
    <mergeCell ref="F67:F68"/>
    <mergeCell ref="G67:G68"/>
    <mergeCell ref="B70:B71"/>
    <mergeCell ref="D63:D65"/>
    <mergeCell ref="E63:E65"/>
    <mergeCell ref="F63:F65"/>
    <mergeCell ref="G63:G65"/>
    <mergeCell ref="A58:A59"/>
    <mergeCell ref="A70:A71"/>
    <mergeCell ref="B5:B7"/>
    <mergeCell ref="A5:A7"/>
    <mergeCell ref="G22:G26"/>
    <mergeCell ref="D27:D31"/>
    <mergeCell ref="G38:G39"/>
    <mergeCell ref="E60:E62"/>
    <mergeCell ref="G32:G36"/>
    <mergeCell ref="C32:C33"/>
    <mergeCell ref="D22:D26"/>
    <mergeCell ref="D32:D36"/>
    <mergeCell ref="E32:E36"/>
    <mergeCell ref="F32:F36"/>
  </mergeCells>
  <phoneticPr fontId="41" type="noConversion"/>
  <hyperlinks>
    <hyperlink ref="D5" location="_ftn1" display="_ftn1" xr:uid="{3AF827CA-0D4E-47D0-968E-8667C35A56FC}"/>
    <hyperlink ref="D71" location="_ftn2" display="_ftn2" xr:uid="{5814CEE9-32A0-43C4-8EDE-EA3E803D5F41}"/>
    <hyperlink ref="B84" location="_ftnref2" display="_ftnref2" xr:uid="{62B4F355-A858-4D5E-B38D-256ADBE8CBE5}"/>
    <hyperlink ref="B83" location="_ftnref2" display="_ftnref2" xr:uid="{A025F7B3-9B13-4CA2-8D2B-10ACB2698B3E}"/>
    <hyperlink ref="B82" location="_ftnref1" display="_ftnref1" xr:uid="{4B14F906-F19E-42DB-8A1D-1A3EAA727184}"/>
    <hyperlink ref="B58" location="_ftn2" display="_ftn2" xr:uid="{EDBF90B3-FF41-46B6-8BDB-E9F40FCBB65C}"/>
  </hyperlinks>
  <pageMargins left="0.2" right="0.2" top="0.25" bottom="0.25" header="0.3" footer="0.3"/>
  <pageSetup paperSize="9"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307F-CD09-41B6-890B-D12F2F8BBED3}">
  <dimension ref="A1:H52"/>
  <sheetViews>
    <sheetView workbookViewId="0">
      <pane xSplit="6" ySplit="11" topLeftCell="G12" activePane="bottomRight" state="frozen"/>
      <selection pane="topRight" activeCell="G1" sqref="G1"/>
      <selection pane="bottomLeft" activeCell="A12" sqref="A12"/>
      <selection pane="bottomRight" activeCell="J9" sqref="J9"/>
    </sheetView>
  </sheetViews>
  <sheetFormatPr defaultColWidth="8.85546875" defaultRowHeight="16.5" x14ac:dyDescent="0.3"/>
  <cols>
    <col min="1" max="1" width="8.85546875" style="10"/>
    <col min="2" max="6" width="15.28515625" style="10" customWidth="1"/>
    <col min="7" max="7" width="10.85546875" style="10" customWidth="1"/>
    <col min="8" max="16384" width="8.85546875" style="10"/>
  </cols>
  <sheetData>
    <row r="1" spans="1:7" ht="39.950000000000003" customHeight="1" x14ac:dyDescent="0.3">
      <c r="A1" s="58"/>
      <c r="B1" s="143" t="s">
        <v>102</v>
      </c>
      <c r="C1" s="143"/>
      <c r="D1" s="143"/>
      <c r="E1" s="143"/>
      <c r="F1" s="143"/>
      <c r="G1" s="58"/>
    </row>
    <row r="2" spans="1:7" ht="39.950000000000003" customHeight="1" x14ac:dyDescent="0.3">
      <c r="A2" s="76"/>
      <c r="B2" s="144" t="s">
        <v>101</v>
      </c>
      <c r="C2" s="144"/>
      <c r="D2" s="144"/>
      <c r="E2" s="144"/>
      <c r="F2" s="144"/>
      <c r="G2" s="76"/>
    </row>
    <row r="3" spans="1:7" ht="39.950000000000003" customHeight="1" x14ac:dyDescent="0.3">
      <c r="A3" s="76"/>
      <c r="B3" s="144" t="s">
        <v>103</v>
      </c>
      <c r="C3" s="144"/>
      <c r="D3" s="144"/>
      <c r="E3" s="144"/>
      <c r="F3" s="144"/>
      <c r="G3" s="76"/>
    </row>
    <row r="4" spans="1:7" x14ac:dyDescent="0.3">
      <c r="A4" s="145"/>
      <c r="B4" s="145"/>
      <c r="C4" s="145"/>
      <c r="D4" s="145"/>
      <c r="E4" s="145"/>
      <c r="F4" s="145"/>
      <c r="G4" s="145"/>
    </row>
    <row r="5" spans="1:7" x14ac:dyDescent="0.3">
      <c r="A5" s="145"/>
      <c r="B5" s="145"/>
      <c r="C5" s="145"/>
      <c r="D5" s="145"/>
      <c r="E5" s="145"/>
      <c r="F5" s="145"/>
      <c r="G5" s="145"/>
    </row>
    <row r="6" spans="1:7" x14ac:dyDescent="0.3">
      <c r="A6" s="145"/>
      <c r="B6" s="145"/>
      <c r="C6" s="145"/>
      <c r="D6" s="145"/>
      <c r="E6" s="145"/>
      <c r="F6" s="145"/>
      <c r="G6" s="145"/>
    </row>
    <row r="7" spans="1:7" x14ac:dyDescent="0.3">
      <c r="A7" s="145"/>
      <c r="B7" s="145"/>
      <c r="C7" s="145"/>
      <c r="D7" s="145"/>
      <c r="E7" s="145"/>
      <c r="F7" s="145"/>
      <c r="G7" s="145"/>
    </row>
    <row r="8" spans="1:7" x14ac:dyDescent="0.3">
      <c r="A8" s="145"/>
      <c r="B8" s="145"/>
      <c r="C8" s="145"/>
      <c r="D8" s="145"/>
      <c r="E8" s="145"/>
      <c r="F8" s="145"/>
      <c r="G8" s="145"/>
    </row>
    <row r="9" spans="1:7" x14ac:dyDescent="0.3">
      <c r="A9" s="145"/>
      <c r="B9" s="145"/>
      <c r="C9" s="145"/>
      <c r="D9" s="145"/>
      <c r="E9" s="145"/>
      <c r="F9" s="145"/>
      <c r="G9" s="145"/>
    </row>
    <row r="10" spans="1:7" ht="32.450000000000003" customHeight="1" thickBot="1" x14ac:dyDescent="0.35">
      <c r="A10" s="145"/>
      <c r="B10" s="138" t="s">
        <v>146</v>
      </c>
      <c r="C10" s="138"/>
      <c r="D10" s="138"/>
      <c r="E10" s="138"/>
      <c r="F10" s="138"/>
    </row>
    <row r="11" spans="1:7" ht="31.9" customHeight="1" thickBot="1" x14ac:dyDescent="0.35">
      <c r="A11" s="47"/>
      <c r="B11" s="9"/>
      <c r="C11" s="33" t="s">
        <v>31</v>
      </c>
      <c r="D11" s="33" t="s">
        <v>32</v>
      </c>
      <c r="E11" s="33" t="s">
        <v>33</v>
      </c>
      <c r="F11" s="33" t="s">
        <v>34</v>
      </c>
    </row>
    <row r="12" spans="1:7" x14ac:dyDescent="0.3">
      <c r="A12" s="47"/>
      <c r="B12" s="39">
        <v>2000</v>
      </c>
      <c r="C12" s="52">
        <v>22706</v>
      </c>
      <c r="D12" s="108">
        <v>42</v>
      </c>
      <c r="E12" s="108">
        <v>46</v>
      </c>
      <c r="F12" s="53">
        <v>1192</v>
      </c>
    </row>
    <row r="13" spans="1:7" x14ac:dyDescent="0.3">
      <c r="A13" s="47"/>
      <c r="B13" s="38">
        <v>2001</v>
      </c>
      <c r="C13" s="54">
        <v>24483</v>
      </c>
      <c r="D13" s="57">
        <v>44</v>
      </c>
      <c r="E13" s="57">
        <v>49</v>
      </c>
      <c r="F13" s="55">
        <v>1211</v>
      </c>
    </row>
    <row r="14" spans="1:7" x14ac:dyDescent="0.3">
      <c r="A14" s="47"/>
      <c r="B14" s="38">
        <v>2002</v>
      </c>
      <c r="C14" s="54">
        <v>27324</v>
      </c>
      <c r="D14" s="55">
        <v>48</v>
      </c>
      <c r="E14" s="55">
        <v>50</v>
      </c>
      <c r="F14" s="55">
        <v>1498</v>
      </c>
    </row>
    <row r="15" spans="1:7" x14ac:dyDescent="0.3">
      <c r="A15" s="47"/>
      <c r="B15" s="38">
        <v>2003</v>
      </c>
      <c r="C15" s="54">
        <v>34783</v>
      </c>
      <c r="D15" s="55">
        <v>60</v>
      </c>
      <c r="E15" s="55">
        <v>53</v>
      </c>
      <c r="F15" s="55">
        <v>1847</v>
      </c>
    </row>
    <row r="16" spans="1:7" x14ac:dyDescent="0.3">
      <c r="A16" s="47"/>
      <c r="B16" s="38">
        <v>2004</v>
      </c>
      <c r="C16" s="54">
        <v>43445</v>
      </c>
      <c r="D16" s="55">
        <v>81</v>
      </c>
      <c r="E16" s="55">
        <v>66</v>
      </c>
      <c r="F16" s="55">
        <v>2346</v>
      </c>
    </row>
    <row r="17" spans="1:6" x14ac:dyDescent="0.3">
      <c r="A17" s="47"/>
      <c r="B17" s="38">
        <v>2005</v>
      </c>
      <c r="C17" s="54">
        <v>52060</v>
      </c>
      <c r="D17" s="55">
        <v>114</v>
      </c>
      <c r="E17" s="55">
        <v>91</v>
      </c>
      <c r="F17" s="55">
        <v>3216</v>
      </c>
    </row>
    <row r="18" spans="1:6" x14ac:dyDescent="0.3">
      <c r="A18" s="47"/>
      <c r="B18" s="38">
        <v>2006</v>
      </c>
      <c r="C18" s="54">
        <v>62293</v>
      </c>
      <c r="D18" s="55">
        <v>150</v>
      </c>
      <c r="E18" s="55">
        <v>120</v>
      </c>
      <c r="F18" s="55">
        <v>4074</v>
      </c>
    </row>
    <row r="19" spans="1:6" x14ac:dyDescent="0.3">
      <c r="A19" s="47"/>
      <c r="B19" s="38">
        <v>2007</v>
      </c>
      <c r="C19" s="54">
        <v>74227</v>
      </c>
      <c r="D19" s="55">
        <v>217</v>
      </c>
      <c r="E19" s="55">
        <v>159</v>
      </c>
      <c r="F19" s="55">
        <v>5556</v>
      </c>
    </row>
    <row r="20" spans="1:6" x14ac:dyDescent="0.3">
      <c r="A20" s="47"/>
      <c r="B20" s="38">
        <v>2008</v>
      </c>
      <c r="C20" s="54">
        <v>87406</v>
      </c>
      <c r="D20" s="55">
        <v>286</v>
      </c>
      <c r="E20" s="55">
        <v>194</v>
      </c>
      <c r="F20" s="55">
        <v>7077</v>
      </c>
    </row>
    <row r="21" spans="1:6" x14ac:dyDescent="0.3">
      <c r="A21" s="47"/>
      <c r="B21" s="38">
        <v>2009</v>
      </c>
      <c r="C21" s="54" t="s">
        <v>35</v>
      </c>
      <c r="D21" s="55">
        <v>264</v>
      </c>
      <c r="E21" s="55" t="s">
        <v>36</v>
      </c>
      <c r="F21" s="55">
        <v>8349</v>
      </c>
    </row>
    <row r="22" spans="1:6" x14ac:dyDescent="0.3">
      <c r="A22" s="47"/>
      <c r="B22" s="38">
        <v>2010</v>
      </c>
      <c r="C22" s="54">
        <v>102652</v>
      </c>
      <c r="D22" s="55">
        <v>275</v>
      </c>
      <c r="E22" s="55">
        <v>207</v>
      </c>
      <c r="F22" s="55">
        <v>8332</v>
      </c>
    </row>
    <row r="23" spans="1:6" x14ac:dyDescent="0.3">
      <c r="A23" s="47"/>
      <c r="B23" s="38">
        <v>2011</v>
      </c>
      <c r="C23" s="54">
        <v>108092</v>
      </c>
      <c r="D23" s="55">
        <v>290</v>
      </c>
      <c r="E23" s="55">
        <v>208</v>
      </c>
      <c r="F23" s="55">
        <v>8491</v>
      </c>
    </row>
    <row r="24" spans="1:6" x14ac:dyDescent="0.3">
      <c r="A24" s="119">
        <v>2</v>
      </c>
      <c r="B24" s="147" t="s">
        <v>43</v>
      </c>
      <c r="C24" s="54" t="s">
        <v>37</v>
      </c>
      <c r="D24" s="55">
        <v>282</v>
      </c>
      <c r="E24" s="55">
        <v>219</v>
      </c>
      <c r="F24" s="55" t="s">
        <v>39</v>
      </c>
    </row>
    <row r="25" spans="1:6" x14ac:dyDescent="0.3">
      <c r="A25" s="119"/>
      <c r="B25" s="147"/>
      <c r="C25" s="54" t="s">
        <v>38</v>
      </c>
      <c r="D25" s="55">
        <v>350</v>
      </c>
      <c r="E25" s="55">
        <v>273</v>
      </c>
      <c r="F25" s="55">
        <v>10876</v>
      </c>
    </row>
    <row r="26" spans="1:6" x14ac:dyDescent="0.3">
      <c r="A26" s="47"/>
      <c r="B26" s="42">
        <v>2013</v>
      </c>
      <c r="C26" s="54">
        <v>146524</v>
      </c>
      <c r="D26" s="55">
        <v>358</v>
      </c>
      <c r="E26" s="55">
        <v>269</v>
      </c>
      <c r="F26" s="55">
        <v>11376</v>
      </c>
    </row>
    <row r="27" spans="1:6" x14ac:dyDescent="0.3">
      <c r="A27" s="47"/>
      <c r="B27" s="38">
        <v>2014</v>
      </c>
      <c r="C27" s="54">
        <v>158580</v>
      </c>
      <c r="D27" s="55">
        <v>381</v>
      </c>
      <c r="E27" s="55">
        <v>287</v>
      </c>
      <c r="F27" s="55">
        <v>14443</v>
      </c>
    </row>
    <row r="28" spans="1:6" x14ac:dyDescent="0.3">
      <c r="A28" s="47"/>
      <c r="B28" s="38">
        <v>2015</v>
      </c>
      <c r="C28" s="54">
        <v>171615</v>
      </c>
      <c r="D28" s="55">
        <v>359</v>
      </c>
      <c r="E28" s="55">
        <v>323</v>
      </c>
      <c r="F28" s="55">
        <v>21751</v>
      </c>
    </row>
    <row r="29" spans="1:6" x14ac:dyDescent="0.3">
      <c r="A29" s="47"/>
      <c r="B29" s="38">
        <v>2016</v>
      </c>
      <c r="C29" s="54">
        <v>174445</v>
      </c>
      <c r="D29" s="55">
        <v>363</v>
      </c>
      <c r="E29" s="55">
        <v>328</v>
      </c>
      <c r="F29" s="55">
        <v>24262</v>
      </c>
    </row>
    <row r="30" spans="1:6" x14ac:dyDescent="0.3">
      <c r="A30" s="119">
        <v>3</v>
      </c>
      <c r="B30" s="148" t="s">
        <v>42</v>
      </c>
      <c r="C30" s="56" t="s">
        <v>40</v>
      </c>
      <c r="D30" s="57">
        <v>368</v>
      </c>
      <c r="E30" s="57">
        <v>326</v>
      </c>
      <c r="F30" s="57" t="s">
        <v>41</v>
      </c>
    </row>
    <row r="31" spans="1:6" x14ac:dyDescent="0.3">
      <c r="A31" s="119"/>
      <c r="B31" s="148"/>
      <c r="C31" s="56">
        <v>166004</v>
      </c>
      <c r="D31" s="55">
        <v>344</v>
      </c>
      <c r="E31" s="57">
        <v>304</v>
      </c>
      <c r="F31" s="57">
        <v>20049</v>
      </c>
    </row>
    <row r="32" spans="1:6" x14ac:dyDescent="0.3">
      <c r="A32" s="47"/>
      <c r="B32" s="38">
        <v>2018</v>
      </c>
      <c r="C32" s="56">
        <v>172727</v>
      </c>
      <c r="D32" s="57">
        <v>358</v>
      </c>
      <c r="E32" s="57">
        <v>303</v>
      </c>
      <c r="F32" s="57">
        <v>22345</v>
      </c>
    </row>
    <row r="33" spans="1:8" x14ac:dyDescent="0.3">
      <c r="A33" s="47"/>
      <c r="B33" s="38">
        <v>2019</v>
      </c>
      <c r="C33" s="54">
        <v>182673</v>
      </c>
      <c r="D33" s="57">
        <v>380</v>
      </c>
      <c r="E33" s="57">
        <v>340</v>
      </c>
      <c r="F33" s="57">
        <v>24586</v>
      </c>
    </row>
    <row r="34" spans="1:8" x14ac:dyDescent="0.3">
      <c r="A34" s="47"/>
      <c r="B34" s="38">
        <v>2020</v>
      </c>
      <c r="C34" s="54">
        <v>189716</v>
      </c>
      <c r="D34" s="57">
        <v>388</v>
      </c>
      <c r="E34" s="57">
        <v>340</v>
      </c>
      <c r="F34" s="57">
        <v>27941</v>
      </c>
    </row>
    <row r="35" spans="1:8" x14ac:dyDescent="0.3">
      <c r="A35" s="47"/>
      <c r="B35" s="38">
        <v>2021</v>
      </c>
      <c r="C35" s="54">
        <v>204048</v>
      </c>
      <c r="D35" s="57">
        <v>405</v>
      </c>
      <c r="E35" s="57">
        <v>342</v>
      </c>
      <c r="F35" s="57">
        <v>30007</v>
      </c>
    </row>
    <row r="36" spans="1:8" x14ac:dyDescent="0.3">
      <c r="A36" s="47"/>
      <c r="B36" s="38">
        <v>2022</v>
      </c>
      <c r="C36" s="56">
        <v>235576</v>
      </c>
      <c r="D36" s="57">
        <v>541</v>
      </c>
      <c r="E36" s="57">
        <v>511</v>
      </c>
      <c r="F36" s="57">
        <v>36242</v>
      </c>
    </row>
    <row r="37" spans="1:8" x14ac:dyDescent="0.3">
      <c r="A37" s="47"/>
      <c r="B37" s="38">
        <v>2023</v>
      </c>
      <c r="C37" s="56">
        <v>269994</v>
      </c>
      <c r="D37" s="57">
        <v>688</v>
      </c>
      <c r="E37" s="57">
        <v>636</v>
      </c>
      <c r="F37" s="57">
        <v>57939</v>
      </c>
    </row>
    <row r="38" spans="1:8" x14ac:dyDescent="0.3">
      <c r="A38" s="47"/>
      <c r="B38" s="38">
        <v>2024</v>
      </c>
      <c r="C38" s="56">
        <v>287172</v>
      </c>
      <c r="D38" s="57">
        <v>731</v>
      </c>
      <c r="E38" s="57">
        <v>676</v>
      </c>
      <c r="F38" s="57">
        <v>67570</v>
      </c>
    </row>
    <row r="39" spans="1:8" x14ac:dyDescent="0.3">
      <c r="A39" s="47"/>
      <c r="B39" s="38">
        <v>2025</v>
      </c>
      <c r="C39" s="56">
        <v>303140</v>
      </c>
      <c r="D39" s="57">
        <v>783</v>
      </c>
      <c r="E39" s="57">
        <v>694</v>
      </c>
      <c r="F39" s="57">
        <v>65191</v>
      </c>
    </row>
    <row r="41" spans="1:8" s="32" customFormat="1" ht="22.5" customHeight="1" x14ac:dyDescent="0.3">
      <c r="A41" s="48">
        <v>1</v>
      </c>
      <c r="B41" s="152" t="s">
        <v>112</v>
      </c>
      <c r="C41" s="152"/>
      <c r="D41" s="152"/>
      <c r="E41" s="152"/>
      <c r="F41" s="152"/>
      <c r="G41" s="92"/>
      <c r="H41" s="31"/>
    </row>
    <row r="42" spans="1:8" s="32" customFormat="1" ht="75.75" customHeight="1" x14ac:dyDescent="0.3">
      <c r="A42" s="48">
        <v>2</v>
      </c>
      <c r="B42" s="151" t="s">
        <v>86</v>
      </c>
      <c r="C42" s="151"/>
      <c r="D42" s="151"/>
      <c r="E42" s="151"/>
      <c r="F42" s="151"/>
      <c r="G42" s="92"/>
      <c r="H42" s="31"/>
    </row>
    <row r="43" spans="1:8" s="31" customFormat="1" ht="81.75" customHeight="1" x14ac:dyDescent="0.25">
      <c r="A43" s="48">
        <v>3</v>
      </c>
      <c r="B43" s="151" t="s">
        <v>87</v>
      </c>
      <c r="C43" s="151"/>
      <c r="D43" s="151"/>
      <c r="E43" s="151"/>
      <c r="F43" s="151"/>
      <c r="G43" s="92"/>
    </row>
    <row r="44" spans="1:8" x14ac:dyDescent="0.3">
      <c r="B44" s="149"/>
      <c r="C44" s="149"/>
      <c r="D44" s="149"/>
      <c r="E44" s="149"/>
      <c r="F44" s="149"/>
      <c r="G44" s="149"/>
    </row>
    <row r="45" spans="1:8" x14ac:dyDescent="0.3">
      <c r="A45" s="48">
        <v>1</v>
      </c>
      <c r="B45" s="93" t="s">
        <v>113</v>
      </c>
      <c r="C45" s="93"/>
      <c r="D45" s="93"/>
      <c r="E45" s="93"/>
      <c r="F45" s="93"/>
      <c r="G45" s="94"/>
    </row>
    <row r="46" spans="1:8" ht="57.75" customHeight="1" x14ac:dyDescent="0.3">
      <c r="A46" s="48">
        <v>2</v>
      </c>
      <c r="B46" s="146" t="s">
        <v>90</v>
      </c>
      <c r="C46" s="146"/>
      <c r="D46" s="146"/>
      <c r="E46" s="146"/>
      <c r="F46" s="146"/>
      <c r="G46" s="94"/>
    </row>
    <row r="47" spans="1:8" ht="69" customHeight="1" x14ac:dyDescent="0.3">
      <c r="A47" s="48">
        <v>3</v>
      </c>
      <c r="B47" s="146" t="s">
        <v>91</v>
      </c>
      <c r="C47" s="146"/>
      <c r="D47" s="146"/>
      <c r="E47" s="146"/>
      <c r="F47" s="146"/>
      <c r="G47" s="94"/>
    </row>
    <row r="48" spans="1:8" x14ac:dyDescent="0.3">
      <c r="B48" s="95"/>
      <c r="C48" s="1"/>
      <c r="D48" s="1"/>
      <c r="E48" s="1"/>
      <c r="F48" s="1"/>
      <c r="G48" s="1"/>
    </row>
    <row r="49" spans="1:7" ht="21" customHeight="1" x14ac:dyDescent="0.3">
      <c r="A49" s="48">
        <v>1</v>
      </c>
      <c r="B49" s="150" t="s">
        <v>114</v>
      </c>
      <c r="C49" s="150"/>
      <c r="D49" s="150"/>
      <c r="E49" s="150"/>
      <c r="F49" s="150"/>
      <c r="G49" s="1"/>
    </row>
    <row r="50" spans="1:7" ht="63.75" customHeight="1" x14ac:dyDescent="0.3">
      <c r="A50" s="48">
        <v>2</v>
      </c>
      <c r="B50" s="146" t="s">
        <v>115</v>
      </c>
      <c r="C50" s="146"/>
      <c r="D50" s="146"/>
      <c r="E50" s="146"/>
      <c r="F50" s="146"/>
      <c r="G50" s="1"/>
    </row>
    <row r="51" spans="1:7" ht="67.5" customHeight="1" x14ac:dyDescent="0.3">
      <c r="A51" s="48">
        <v>3</v>
      </c>
      <c r="B51" s="146" t="s">
        <v>116</v>
      </c>
      <c r="C51" s="146"/>
      <c r="D51" s="146"/>
      <c r="E51" s="146"/>
      <c r="F51" s="146"/>
      <c r="G51" s="1"/>
    </row>
    <row r="52" spans="1:7" x14ac:dyDescent="0.3">
      <c r="B52" s="30"/>
      <c r="C52" s="30"/>
      <c r="D52" s="30"/>
      <c r="E52" s="30"/>
      <c r="F52" s="30"/>
    </row>
  </sheetData>
  <mergeCells count="20">
    <mergeCell ref="A30:A31"/>
    <mergeCell ref="B51:F51"/>
    <mergeCell ref="B4:F9"/>
    <mergeCell ref="B24:B25"/>
    <mergeCell ref="B30:B31"/>
    <mergeCell ref="B10:F10"/>
    <mergeCell ref="B44:G44"/>
    <mergeCell ref="B49:F49"/>
    <mergeCell ref="B50:F50"/>
    <mergeCell ref="B42:F42"/>
    <mergeCell ref="B43:F43"/>
    <mergeCell ref="B46:F46"/>
    <mergeCell ref="B47:F47"/>
    <mergeCell ref="A4:A10"/>
    <mergeCell ref="B41:F41"/>
    <mergeCell ref="B1:F1"/>
    <mergeCell ref="B2:F2"/>
    <mergeCell ref="B3:F3"/>
    <mergeCell ref="G4:G9"/>
    <mergeCell ref="A24:A25"/>
  </mergeCells>
  <phoneticPr fontId="41" type="noConversion"/>
  <hyperlinks>
    <hyperlink ref="B24" location="_ftn1" display="_ftn1" xr:uid="{6A761274-7BD0-4495-9DA7-B4B10B99C40B}"/>
    <hyperlink ref="B41" location="_ftnref1" display="_ftnref1" xr:uid="{5BF9E98E-C74E-402F-9D80-D255FBFBFD8A}"/>
    <hyperlink ref="B42" location="_ftnref2" display="_ftnref2" xr:uid="{22E50D61-D797-4544-84D7-E3C27970F55E}"/>
    <hyperlink ref="B43" location="_ftnref2" display="_ftnref2" xr:uid="{AF38E945-6EAD-4ADD-9716-2564E5F6715A}"/>
  </hyperlinks>
  <pageMargins left="0.7" right="0.7" top="0.25" bottom="0.25" header="0.3" footer="0.3"/>
  <pageSetup paperSize="9" scale="9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6DB92-9367-4FBD-9A2A-933E2210F716}">
  <dimension ref="A1:G46"/>
  <sheetViews>
    <sheetView workbookViewId="0">
      <pane xSplit="5" ySplit="8" topLeftCell="F21" activePane="bottomRight" state="frozen"/>
      <selection pane="topRight" activeCell="F1" sqref="F1"/>
      <selection pane="bottomLeft" activeCell="A9" sqref="A9"/>
      <selection pane="bottomRight" activeCell="I30" sqref="I30"/>
    </sheetView>
  </sheetViews>
  <sheetFormatPr defaultColWidth="8.85546875" defaultRowHeight="16.5" x14ac:dyDescent="0.3"/>
  <cols>
    <col min="1" max="1" width="5.140625" style="10" customWidth="1"/>
    <col min="2" max="5" width="20.7109375" style="10" customWidth="1"/>
    <col min="6" max="6" width="10.85546875" style="10" customWidth="1"/>
    <col min="7" max="16384" width="8.85546875" style="10"/>
  </cols>
  <sheetData>
    <row r="1" spans="1:6" ht="37.5" customHeight="1" x14ac:dyDescent="0.3">
      <c r="A1" s="154" t="s">
        <v>141</v>
      </c>
      <c r="B1" s="154"/>
      <c r="C1" s="154"/>
      <c r="D1" s="154"/>
      <c r="E1" s="154"/>
      <c r="F1" s="58"/>
    </row>
    <row r="2" spans="1:6" ht="37.5" customHeight="1" x14ac:dyDescent="0.3">
      <c r="A2" s="155" t="s">
        <v>142</v>
      </c>
      <c r="B2" s="155"/>
      <c r="C2" s="155"/>
      <c r="D2" s="155"/>
      <c r="E2" s="155"/>
      <c r="F2" s="76"/>
    </row>
    <row r="3" spans="1:6" ht="37.5" customHeight="1" x14ac:dyDescent="0.3">
      <c r="A3" s="155" t="s">
        <v>143</v>
      </c>
      <c r="B3" s="155"/>
      <c r="C3" s="155"/>
      <c r="D3" s="155"/>
      <c r="E3" s="155"/>
      <c r="F3" s="76"/>
    </row>
    <row r="4" spans="1:6" ht="32.450000000000003" customHeight="1" thickBot="1" x14ac:dyDescent="0.35">
      <c r="A4" s="49"/>
      <c r="B4" s="138" t="s">
        <v>146</v>
      </c>
      <c r="C4" s="138"/>
      <c r="D4" s="138"/>
      <c r="E4" s="138"/>
    </row>
    <row r="5" spans="1:6" ht="32.450000000000003" customHeight="1" thickBot="1" x14ac:dyDescent="0.35">
      <c r="A5" s="51"/>
      <c r="B5" s="77"/>
      <c r="C5" s="3" t="s">
        <v>0</v>
      </c>
      <c r="D5" s="3" t="s">
        <v>4</v>
      </c>
      <c r="E5" s="3" t="s">
        <v>5</v>
      </c>
    </row>
    <row r="6" spans="1:6" ht="24" customHeight="1" x14ac:dyDescent="0.3">
      <c r="A6" s="47"/>
      <c r="B6" s="78"/>
      <c r="C6" s="79" t="s">
        <v>117</v>
      </c>
      <c r="D6" s="79" t="s">
        <v>137</v>
      </c>
      <c r="E6" s="79" t="s">
        <v>138</v>
      </c>
    </row>
    <row r="7" spans="1:6" ht="24" customHeight="1" x14ac:dyDescent="0.3">
      <c r="A7" s="47"/>
      <c r="B7" s="80"/>
      <c r="C7" s="81" t="s">
        <v>120</v>
      </c>
      <c r="D7" s="81" t="s">
        <v>139</v>
      </c>
      <c r="E7" s="81" t="s">
        <v>140</v>
      </c>
    </row>
    <row r="8" spans="1:6" ht="24" customHeight="1" x14ac:dyDescent="0.3">
      <c r="A8" s="47"/>
      <c r="B8" s="50"/>
      <c r="C8" s="156" t="s">
        <v>123</v>
      </c>
      <c r="D8" s="156"/>
      <c r="E8" s="156"/>
    </row>
    <row r="9" spans="1:6" x14ac:dyDescent="0.3">
      <c r="A9" s="47"/>
      <c r="B9" s="38">
        <v>2000</v>
      </c>
      <c r="C9" s="37">
        <v>22706</v>
      </c>
      <c r="D9" s="35">
        <v>18858</v>
      </c>
      <c r="E9" s="35">
        <v>28600</v>
      </c>
    </row>
    <row r="10" spans="1:6" x14ac:dyDescent="0.3">
      <c r="A10" s="47"/>
      <c r="B10" s="38">
        <v>2001</v>
      </c>
      <c r="C10" s="40">
        <v>24483</v>
      </c>
      <c r="D10" s="35">
        <v>19769</v>
      </c>
      <c r="E10" s="35">
        <v>33270</v>
      </c>
    </row>
    <row r="11" spans="1:6" x14ac:dyDescent="0.3">
      <c r="A11" s="47"/>
      <c r="B11" s="38">
        <v>2002</v>
      </c>
      <c r="C11" s="40">
        <v>27324</v>
      </c>
      <c r="D11" s="35">
        <v>21737</v>
      </c>
      <c r="E11" s="35">
        <v>39230</v>
      </c>
    </row>
    <row r="12" spans="1:6" x14ac:dyDescent="0.3">
      <c r="A12" s="47"/>
      <c r="B12" s="38">
        <v>2003</v>
      </c>
      <c r="C12" s="40">
        <v>34783</v>
      </c>
      <c r="D12" s="35">
        <v>26264</v>
      </c>
      <c r="E12" s="35">
        <v>51523</v>
      </c>
    </row>
    <row r="13" spans="1:6" x14ac:dyDescent="0.3">
      <c r="A13" s="47"/>
      <c r="B13" s="38">
        <v>2004</v>
      </c>
      <c r="C13" s="40">
        <v>43445</v>
      </c>
      <c r="D13" s="35">
        <v>36332</v>
      </c>
      <c r="E13" s="36" t="s">
        <v>126</v>
      </c>
    </row>
    <row r="14" spans="1:6" x14ac:dyDescent="0.3">
      <c r="A14" s="47"/>
      <c r="B14" s="38">
        <v>2005</v>
      </c>
      <c r="C14" s="40">
        <v>52060</v>
      </c>
      <c r="D14" s="35">
        <v>42417</v>
      </c>
      <c r="E14" s="36" t="s">
        <v>127</v>
      </c>
    </row>
    <row r="15" spans="1:6" x14ac:dyDescent="0.3">
      <c r="A15" s="47"/>
      <c r="B15" s="38">
        <v>2006</v>
      </c>
      <c r="C15" s="40">
        <v>62293</v>
      </c>
      <c r="D15" s="35">
        <v>54017</v>
      </c>
      <c r="E15" s="36" t="s">
        <v>128</v>
      </c>
    </row>
    <row r="16" spans="1:6" x14ac:dyDescent="0.3">
      <c r="A16" s="47"/>
      <c r="B16" s="38">
        <v>2007</v>
      </c>
      <c r="C16" s="40">
        <v>74227</v>
      </c>
      <c r="D16" s="35">
        <v>60985</v>
      </c>
      <c r="E16" s="36" t="s">
        <v>129</v>
      </c>
    </row>
    <row r="17" spans="1:5" x14ac:dyDescent="0.3">
      <c r="A17" s="47"/>
      <c r="B17" s="38">
        <v>2008</v>
      </c>
      <c r="C17" s="40">
        <v>87406</v>
      </c>
      <c r="D17" s="35">
        <v>72809</v>
      </c>
      <c r="E17" s="36" t="s">
        <v>130</v>
      </c>
    </row>
    <row r="18" spans="1:5" x14ac:dyDescent="0.3">
      <c r="A18" s="47"/>
      <c r="B18" s="38">
        <v>2009</v>
      </c>
      <c r="C18" s="41" t="s">
        <v>35</v>
      </c>
      <c r="D18" s="35">
        <v>83103</v>
      </c>
      <c r="E18" s="36" t="s">
        <v>131</v>
      </c>
    </row>
    <row r="19" spans="1:5" x14ac:dyDescent="0.3">
      <c r="A19" s="47"/>
      <c r="B19" s="38">
        <v>2010</v>
      </c>
      <c r="C19" s="40">
        <v>102652</v>
      </c>
      <c r="D19" s="35">
        <v>85735</v>
      </c>
      <c r="E19" s="36" t="s">
        <v>132</v>
      </c>
    </row>
    <row r="20" spans="1:5" x14ac:dyDescent="0.3">
      <c r="A20" s="47"/>
      <c r="B20" s="38">
        <v>2011</v>
      </c>
      <c r="C20" s="40">
        <v>108092</v>
      </c>
      <c r="D20" s="35">
        <v>90774</v>
      </c>
      <c r="E20" s="36" t="s">
        <v>133</v>
      </c>
    </row>
    <row r="21" spans="1:5" x14ac:dyDescent="0.3">
      <c r="A21" s="119">
        <v>1</v>
      </c>
      <c r="B21" s="147" t="s">
        <v>144</v>
      </c>
      <c r="C21" s="41" t="s">
        <v>104</v>
      </c>
      <c r="D21" s="36" t="s">
        <v>124</v>
      </c>
      <c r="E21" s="36" t="s">
        <v>134</v>
      </c>
    </row>
    <row r="22" spans="1:5" x14ac:dyDescent="0.3">
      <c r="A22" s="119"/>
      <c r="B22" s="147"/>
      <c r="C22" s="40">
        <v>140739</v>
      </c>
      <c r="D22" s="35">
        <v>127292</v>
      </c>
      <c r="E22" s="35">
        <v>155143</v>
      </c>
    </row>
    <row r="23" spans="1:5" x14ac:dyDescent="0.3">
      <c r="A23" s="47"/>
      <c r="B23" s="42">
        <v>2013</v>
      </c>
      <c r="C23" s="37">
        <v>146524</v>
      </c>
      <c r="D23" s="11">
        <v>134193</v>
      </c>
      <c r="E23" s="12" t="s">
        <v>135</v>
      </c>
    </row>
    <row r="24" spans="1:5" x14ac:dyDescent="0.3">
      <c r="A24" s="47"/>
      <c r="B24" s="38">
        <v>2014</v>
      </c>
      <c r="C24" s="37">
        <v>158580</v>
      </c>
      <c r="D24" s="11">
        <v>146595</v>
      </c>
      <c r="E24" s="11">
        <v>172073</v>
      </c>
    </row>
    <row r="25" spans="1:5" x14ac:dyDescent="0.3">
      <c r="A25" s="47"/>
      <c r="B25" s="38">
        <v>2015</v>
      </c>
      <c r="C25" s="37">
        <v>171615</v>
      </c>
      <c r="D25" s="11">
        <v>160522</v>
      </c>
      <c r="E25" s="11">
        <v>184416</v>
      </c>
    </row>
    <row r="26" spans="1:5" x14ac:dyDescent="0.3">
      <c r="A26" s="47"/>
      <c r="B26" s="38">
        <v>2016</v>
      </c>
      <c r="C26" s="37">
        <v>174445</v>
      </c>
      <c r="D26" s="11">
        <v>157331</v>
      </c>
      <c r="E26" s="11">
        <v>191901</v>
      </c>
    </row>
    <row r="27" spans="1:5" x14ac:dyDescent="0.3">
      <c r="A27" s="119">
        <v>2</v>
      </c>
      <c r="B27" s="148" t="s">
        <v>145</v>
      </c>
      <c r="C27" s="34" t="s">
        <v>40</v>
      </c>
      <c r="D27" s="36" t="s">
        <v>125</v>
      </c>
      <c r="E27" s="36" t="s">
        <v>136</v>
      </c>
    </row>
    <row r="28" spans="1:5" x14ac:dyDescent="0.3">
      <c r="A28" s="119"/>
      <c r="B28" s="148"/>
      <c r="C28" s="37">
        <v>166004</v>
      </c>
      <c r="D28" s="35">
        <v>145039</v>
      </c>
      <c r="E28" s="35">
        <v>179606</v>
      </c>
    </row>
    <row r="29" spans="1:5" x14ac:dyDescent="0.3">
      <c r="A29" s="47"/>
      <c r="B29" s="38">
        <v>2018</v>
      </c>
      <c r="C29" s="37">
        <v>172727</v>
      </c>
      <c r="D29" s="35">
        <v>149188</v>
      </c>
      <c r="E29" s="35">
        <v>186254</v>
      </c>
    </row>
    <row r="30" spans="1:5" x14ac:dyDescent="0.3">
      <c r="A30" s="47"/>
      <c r="B30" s="38">
        <v>2019</v>
      </c>
      <c r="C30" s="40">
        <v>182673</v>
      </c>
      <c r="D30" s="11">
        <v>161669</v>
      </c>
      <c r="E30" s="11">
        <v>193244</v>
      </c>
    </row>
    <row r="31" spans="1:5" x14ac:dyDescent="0.3">
      <c r="A31" s="47"/>
      <c r="B31" s="38">
        <v>2020</v>
      </c>
      <c r="C31" s="40">
        <v>189716</v>
      </c>
      <c r="D31" s="11">
        <v>170264</v>
      </c>
      <c r="E31" s="11">
        <v>198964</v>
      </c>
    </row>
    <row r="32" spans="1:5" x14ac:dyDescent="0.3">
      <c r="A32" s="47"/>
      <c r="B32" s="38">
        <v>2021</v>
      </c>
      <c r="C32" s="40">
        <v>204048</v>
      </c>
      <c r="D32" s="11">
        <v>179174</v>
      </c>
      <c r="E32" s="11">
        <v>215674</v>
      </c>
    </row>
    <row r="33" spans="1:7" x14ac:dyDescent="0.3">
      <c r="A33" s="47"/>
      <c r="B33" s="38">
        <v>2022</v>
      </c>
      <c r="C33" s="37">
        <v>235576</v>
      </c>
      <c r="D33" s="11">
        <v>186940</v>
      </c>
      <c r="E33" s="11">
        <v>256733</v>
      </c>
    </row>
    <row r="34" spans="1:7" x14ac:dyDescent="0.3">
      <c r="A34" s="47"/>
      <c r="B34" s="38">
        <v>2023</v>
      </c>
      <c r="C34" s="37">
        <v>269994</v>
      </c>
      <c r="D34" s="11">
        <v>208323</v>
      </c>
      <c r="E34" s="11">
        <v>295132</v>
      </c>
    </row>
    <row r="35" spans="1:7" x14ac:dyDescent="0.3">
      <c r="A35" s="47"/>
      <c r="B35" s="38">
        <v>2024</v>
      </c>
      <c r="C35" s="37">
        <v>287172</v>
      </c>
      <c r="D35" s="11">
        <v>224804</v>
      </c>
      <c r="E35" s="11">
        <v>311848</v>
      </c>
    </row>
    <row r="36" spans="1:7" x14ac:dyDescent="0.3">
      <c r="A36" s="47"/>
      <c r="B36" s="38">
        <v>2025</v>
      </c>
      <c r="C36" s="37">
        <v>303140</v>
      </c>
      <c r="D36" s="11">
        <v>239369</v>
      </c>
      <c r="E36" s="11">
        <v>327604</v>
      </c>
    </row>
    <row r="38" spans="1:7" s="32" customFormat="1" ht="75.75" customHeight="1" x14ac:dyDescent="0.3">
      <c r="A38" s="48">
        <v>1</v>
      </c>
      <c r="B38" s="151" t="s">
        <v>86</v>
      </c>
      <c r="C38" s="151"/>
      <c r="D38" s="151"/>
      <c r="E38" s="151"/>
      <c r="F38" s="10"/>
      <c r="G38" s="31"/>
    </row>
    <row r="39" spans="1:7" s="31" customFormat="1" ht="60.75" customHeight="1" x14ac:dyDescent="0.3">
      <c r="A39" s="48">
        <v>2</v>
      </c>
      <c r="B39" s="151" t="s">
        <v>87</v>
      </c>
      <c r="C39" s="151"/>
      <c r="D39" s="151"/>
      <c r="E39" s="151"/>
      <c r="F39" s="10"/>
    </row>
    <row r="40" spans="1:7" x14ac:dyDescent="0.3">
      <c r="B40" s="153"/>
      <c r="C40" s="153"/>
      <c r="D40" s="153"/>
      <c r="E40" s="153"/>
      <c r="F40" s="153"/>
    </row>
    <row r="41" spans="1:7" ht="57.75" customHeight="1" x14ac:dyDescent="0.3">
      <c r="A41" s="48">
        <v>1</v>
      </c>
      <c r="B41" s="146" t="s">
        <v>90</v>
      </c>
      <c r="C41" s="146"/>
      <c r="D41" s="146"/>
      <c r="E41" s="146"/>
    </row>
    <row r="42" spans="1:7" ht="59.25" customHeight="1" x14ac:dyDescent="0.3">
      <c r="A42" s="48">
        <v>2</v>
      </c>
      <c r="B42" s="146" t="s">
        <v>91</v>
      </c>
      <c r="C42" s="146"/>
      <c r="D42" s="146"/>
      <c r="E42" s="146"/>
    </row>
    <row r="43" spans="1:7" x14ac:dyDescent="0.3">
      <c r="B43" s="115"/>
      <c r="C43" s="112"/>
      <c r="D43" s="112"/>
      <c r="E43" s="112"/>
      <c r="F43" s="112"/>
    </row>
    <row r="44" spans="1:7" ht="63.75" customHeight="1" x14ac:dyDescent="0.3">
      <c r="A44" s="48">
        <v>1</v>
      </c>
      <c r="B44" s="146" t="s">
        <v>88</v>
      </c>
      <c r="C44" s="146"/>
      <c r="D44" s="146"/>
      <c r="E44" s="146"/>
      <c r="F44" s="112"/>
    </row>
    <row r="45" spans="1:7" ht="81.75" customHeight="1" x14ac:dyDescent="0.3">
      <c r="A45" s="48">
        <v>2</v>
      </c>
      <c r="B45" s="146" t="s">
        <v>89</v>
      </c>
      <c r="C45" s="146"/>
      <c r="D45" s="146"/>
      <c r="E45" s="146"/>
      <c r="F45" s="112"/>
    </row>
    <row r="46" spans="1:7" x14ac:dyDescent="0.3">
      <c r="B46" s="30"/>
      <c r="C46" s="30"/>
      <c r="D46" s="30"/>
      <c r="E46" s="30"/>
    </row>
  </sheetData>
  <mergeCells count="16">
    <mergeCell ref="B45:E45"/>
    <mergeCell ref="B38:E38"/>
    <mergeCell ref="B39:E39"/>
    <mergeCell ref="B41:E41"/>
    <mergeCell ref="B42:E42"/>
    <mergeCell ref="B44:E44"/>
    <mergeCell ref="A1:E1"/>
    <mergeCell ref="A2:E2"/>
    <mergeCell ref="A3:E3"/>
    <mergeCell ref="B4:E4"/>
    <mergeCell ref="C8:E8"/>
    <mergeCell ref="A21:A22"/>
    <mergeCell ref="B21:B22"/>
    <mergeCell ref="A27:A28"/>
    <mergeCell ref="B27:B28"/>
    <mergeCell ref="B40:F40"/>
  </mergeCells>
  <hyperlinks>
    <hyperlink ref="B21" location="_ftn1" display="_ftn1" xr:uid="{DC42D595-8A1A-4D0C-AEB3-FE063F87DD13}"/>
    <hyperlink ref="B38" location="_ftnref2" display="_ftnref2" xr:uid="{CC6E4587-18C8-45AC-8155-B7DB541F013A}"/>
    <hyperlink ref="B39" location="_ftnref2" display="_ftnref2" xr:uid="{2D32177D-13DE-4668-A7B7-EEC5C27C77EC}"/>
  </hyperlinks>
  <pageMargins left="0.7" right="0.7" top="0.25" bottom="0.25" header="0.3" footer="0.3"/>
  <pageSetup paperSize="9" scale="9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D8F11-1056-4347-906D-7D827EBEB1AC}">
  <dimension ref="A1:E56"/>
  <sheetViews>
    <sheetView workbookViewId="0">
      <pane xSplit="5" ySplit="14" topLeftCell="F36" activePane="bottomRight" state="frozen"/>
      <selection pane="topRight" activeCell="F1" sqref="F1"/>
      <selection pane="bottomLeft" activeCell="A15" sqref="A15"/>
      <selection pane="bottomRight" activeCell="M46" sqref="M46"/>
    </sheetView>
  </sheetViews>
  <sheetFormatPr defaultColWidth="8.85546875" defaultRowHeight="16.5" x14ac:dyDescent="0.3"/>
  <cols>
    <col min="1" max="1" width="5.140625" style="10" customWidth="1"/>
    <col min="2" max="4" width="20.7109375" style="10" customWidth="1"/>
    <col min="5" max="5" width="22.140625" style="10" customWidth="1"/>
    <col min="6" max="16384" width="8.85546875" style="10"/>
  </cols>
  <sheetData>
    <row r="1" spans="1:5" ht="30" customHeight="1" x14ac:dyDescent="0.3">
      <c r="A1" s="160" t="s">
        <v>109</v>
      </c>
      <c r="B1" s="160"/>
      <c r="C1" s="160"/>
      <c r="D1" s="160"/>
      <c r="E1" s="160"/>
    </row>
    <row r="2" spans="1:5" ht="30" customHeight="1" x14ac:dyDescent="0.3">
      <c r="A2" s="161" t="s">
        <v>110</v>
      </c>
      <c r="B2" s="161"/>
      <c r="C2" s="161"/>
      <c r="D2" s="161"/>
      <c r="E2" s="161"/>
    </row>
    <row r="3" spans="1:5" ht="30" customHeight="1" x14ac:dyDescent="0.3">
      <c r="A3" s="161" t="s">
        <v>111</v>
      </c>
      <c r="B3" s="161"/>
      <c r="C3" s="161"/>
      <c r="D3" s="161"/>
      <c r="E3" s="161"/>
    </row>
    <row r="4" spans="1:5" ht="21" customHeight="1" x14ac:dyDescent="0.3">
      <c r="A4" s="145"/>
      <c r="B4" s="145"/>
      <c r="C4" s="145"/>
      <c r="D4" s="145"/>
      <c r="E4" s="145"/>
    </row>
    <row r="5" spans="1:5" ht="16.5" customHeight="1" x14ac:dyDescent="0.3">
      <c r="A5" s="145"/>
      <c r="B5" s="145"/>
      <c r="C5" s="145"/>
      <c r="D5" s="145"/>
      <c r="E5" s="145"/>
    </row>
    <row r="6" spans="1:5" ht="16.5" customHeight="1" x14ac:dyDescent="0.3">
      <c r="A6" s="145"/>
      <c r="B6" s="145"/>
      <c r="C6" s="145"/>
      <c r="D6" s="145"/>
      <c r="E6" s="145"/>
    </row>
    <row r="7" spans="1:5" ht="16.5" customHeight="1" x14ac:dyDescent="0.3">
      <c r="A7" s="145"/>
      <c r="B7" s="145"/>
      <c r="C7" s="145"/>
      <c r="D7" s="145"/>
      <c r="E7" s="145"/>
    </row>
    <row r="8" spans="1:5" ht="16.5" customHeight="1" x14ac:dyDescent="0.3">
      <c r="A8" s="145"/>
      <c r="B8" s="145"/>
      <c r="C8" s="145"/>
      <c r="D8" s="145"/>
      <c r="E8" s="145"/>
    </row>
    <row r="9" spans="1:5" ht="16.5" customHeight="1" x14ac:dyDescent="0.3">
      <c r="A9" s="145"/>
      <c r="B9" s="145"/>
      <c r="C9" s="145"/>
      <c r="D9" s="145"/>
      <c r="E9" s="145"/>
    </row>
    <row r="10" spans="1:5" ht="32.450000000000003" customHeight="1" thickBot="1" x14ac:dyDescent="0.35">
      <c r="A10" s="145"/>
      <c r="B10" s="138" t="s">
        <v>148</v>
      </c>
      <c r="C10" s="138"/>
      <c r="D10" s="138"/>
      <c r="E10" s="138"/>
    </row>
    <row r="11" spans="1:5" ht="32.450000000000003" customHeight="1" thickBot="1" x14ac:dyDescent="0.35">
      <c r="A11" s="51"/>
      <c r="B11" s="77"/>
      <c r="C11" s="3" t="s">
        <v>0</v>
      </c>
      <c r="D11" s="3" t="s">
        <v>17</v>
      </c>
      <c r="E11" s="3" t="s">
        <v>16</v>
      </c>
    </row>
    <row r="12" spans="1:5" ht="24" customHeight="1" x14ac:dyDescent="0.3">
      <c r="A12" s="47"/>
      <c r="B12" s="78"/>
      <c r="C12" s="79" t="s">
        <v>117</v>
      </c>
      <c r="D12" s="79" t="s">
        <v>118</v>
      </c>
      <c r="E12" s="79" t="s">
        <v>119</v>
      </c>
    </row>
    <row r="13" spans="1:5" ht="24" customHeight="1" x14ac:dyDescent="0.3">
      <c r="A13" s="47"/>
      <c r="B13" s="80"/>
      <c r="C13" s="81" t="s">
        <v>120</v>
      </c>
      <c r="D13" s="81" t="s">
        <v>121</v>
      </c>
      <c r="E13" s="81" t="s">
        <v>122</v>
      </c>
    </row>
    <row r="14" spans="1:5" ht="24" customHeight="1" x14ac:dyDescent="0.3">
      <c r="A14" s="47"/>
      <c r="B14" s="50"/>
      <c r="C14" s="156" t="s">
        <v>123</v>
      </c>
      <c r="D14" s="156"/>
      <c r="E14" s="156"/>
    </row>
    <row r="15" spans="1:5" x14ac:dyDescent="0.3">
      <c r="A15" s="47"/>
      <c r="B15" s="38">
        <v>2000</v>
      </c>
      <c r="C15" s="103">
        <v>22706</v>
      </c>
      <c r="D15" s="101">
        <v>15160</v>
      </c>
      <c r="E15" s="101">
        <v>29208</v>
      </c>
    </row>
    <row r="16" spans="1:5" x14ac:dyDescent="0.3">
      <c r="A16" s="47"/>
      <c r="B16" s="38">
        <v>2001</v>
      </c>
      <c r="C16" s="109">
        <v>24483</v>
      </c>
      <c r="D16" s="101">
        <v>15528</v>
      </c>
      <c r="E16" s="101">
        <v>33921</v>
      </c>
    </row>
    <row r="17" spans="1:5" x14ac:dyDescent="0.3">
      <c r="A17" s="47"/>
      <c r="B17" s="38">
        <v>2002</v>
      </c>
      <c r="C17" s="109">
        <v>27324</v>
      </c>
      <c r="D17" s="101">
        <v>19756</v>
      </c>
      <c r="E17" s="101">
        <v>50278</v>
      </c>
    </row>
    <row r="18" spans="1:5" x14ac:dyDescent="0.3">
      <c r="A18" s="47"/>
      <c r="B18" s="38">
        <v>2003</v>
      </c>
      <c r="C18" s="109">
        <v>34783</v>
      </c>
      <c r="D18" s="101">
        <v>20990</v>
      </c>
      <c r="E18" s="101">
        <v>49831</v>
      </c>
    </row>
    <row r="19" spans="1:5" x14ac:dyDescent="0.3">
      <c r="A19" s="47"/>
      <c r="B19" s="38">
        <v>2004</v>
      </c>
      <c r="C19" s="109">
        <v>43445</v>
      </c>
      <c r="D19" s="101">
        <v>30485</v>
      </c>
      <c r="E19" s="101">
        <v>57043</v>
      </c>
    </row>
    <row r="20" spans="1:5" x14ac:dyDescent="0.3">
      <c r="A20" s="47"/>
      <c r="B20" s="38">
        <v>2005</v>
      </c>
      <c r="C20" s="109">
        <v>52060</v>
      </c>
      <c r="D20" s="101">
        <v>38131</v>
      </c>
      <c r="E20" s="101">
        <v>66301</v>
      </c>
    </row>
    <row r="21" spans="1:5" x14ac:dyDescent="0.3">
      <c r="A21" s="47"/>
      <c r="B21" s="38">
        <v>2006</v>
      </c>
      <c r="C21" s="109">
        <v>62293</v>
      </c>
      <c r="D21" s="101">
        <v>48319</v>
      </c>
      <c r="E21" s="101">
        <v>81581</v>
      </c>
    </row>
    <row r="22" spans="1:5" x14ac:dyDescent="0.3">
      <c r="A22" s="47"/>
      <c r="B22" s="38">
        <v>2007</v>
      </c>
      <c r="C22" s="109">
        <v>74227</v>
      </c>
      <c r="D22" s="101">
        <v>57574</v>
      </c>
      <c r="E22" s="101">
        <v>97257</v>
      </c>
    </row>
    <row r="23" spans="1:5" x14ac:dyDescent="0.3">
      <c r="A23" s="47"/>
      <c r="B23" s="38">
        <v>2008</v>
      </c>
      <c r="C23" s="109">
        <v>87406</v>
      </c>
      <c r="D23" s="101">
        <v>68010</v>
      </c>
      <c r="E23" s="101">
        <v>116787</v>
      </c>
    </row>
    <row r="24" spans="1:5" x14ac:dyDescent="0.3">
      <c r="A24" s="47"/>
      <c r="B24" s="38">
        <v>2009</v>
      </c>
      <c r="C24" s="110" t="s">
        <v>35</v>
      </c>
      <c r="D24" s="101">
        <v>77127</v>
      </c>
      <c r="E24" s="101">
        <v>126765</v>
      </c>
    </row>
    <row r="25" spans="1:5" x14ac:dyDescent="0.3">
      <c r="A25" s="47"/>
      <c r="B25" s="38">
        <v>2010</v>
      </c>
      <c r="C25" s="109">
        <v>102652</v>
      </c>
      <c r="D25" s="101">
        <v>79919</v>
      </c>
      <c r="E25" s="101">
        <v>124757</v>
      </c>
    </row>
    <row r="26" spans="1:5" x14ac:dyDescent="0.3">
      <c r="A26" s="47"/>
      <c r="B26" s="38">
        <v>2011</v>
      </c>
      <c r="C26" s="109">
        <v>108092</v>
      </c>
      <c r="D26" s="101">
        <v>84992</v>
      </c>
      <c r="E26" s="101">
        <v>131294</v>
      </c>
    </row>
    <row r="27" spans="1:5" x14ac:dyDescent="0.3">
      <c r="A27" s="119">
        <v>2</v>
      </c>
      <c r="B27" s="147" t="s">
        <v>43</v>
      </c>
      <c r="C27" s="110" t="s">
        <v>104</v>
      </c>
      <c r="D27" s="102" t="s">
        <v>105</v>
      </c>
      <c r="E27" s="102" t="s">
        <v>106</v>
      </c>
    </row>
    <row r="28" spans="1:5" x14ac:dyDescent="0.3">
      <c r="A28" s="119"/>
      <c r="B28" s="147"/>
      <c r="C28" s="109">
        <v>140739</v>
      </c>
      <c r="D28" s="101">
        <v>107755</v>
      </c>
      <c r="E28" s="101">
        <v>169043</v>
      </c>
    </row>
    <row r="29" spans="1:5" x14ac:dyDescent="0.3">
      <c r="A29" s="47"/>
      <c r="B29" s="42">
        <v>2013</v>
      </c>
      <c r="C29" s="103">
        <v>146524</v>
      </c>
      <c r="D29" s="100">
        <v>114328</v>
      </c>
      <c r="E29" s="100">
        <v>174283</v>
      </c>
    </row>
    <row r="30" spans="1:5" x14ac:dyDescent="0.3">
      <c r="A30" s="47"/>
      <c r="B30" s="38">
        <v>2014</v>
      </c>
      <c r="C30" s="103">
        <v>158580</v>
      </c>
      <c r="D30" s="100">
        <v>124441</v>
      </c>
      <c r="E30" s="100">
        <v>188737</v>
      </c>
    </row>
    <row r="31" spans="1:5" x14ac:dyDescent="0.3">
      <c r="A31" s="47"/>
      <c r="B31" s="38">
        <v>2015</v>
      </c>
      <c r="C31" s="103">
        <v>171615</v>
      </c>
      <c r="D31" s="100">
        <v>135492</v>
      </c>
      <c r="E31" s="100">
        <v>203657</v>
      </c>
    </row>
    <row r="32" spans="1:5" x14ac:dyDescent="0.3">
      <c r="A32" s="47"/>
      <c r="B32" s="38">
        <v>2016</v>
      </c>
      <c r="C32" s="103">
        <v>174445</v>
      </c>
      <c r="D32" s="100">
        <v>138901</v>
      </c>
      <c r="E32" s="100">
        <v>209271</v>
      </c>
    </row>
    <row r="33" spans="1:5" x14ac:dyDescent="0.3">
      <c r="A33" s="119">
        <v>3</v>
      </c>
      <c r="B33" s="148" t="s">
        <v>42</v>
      </c>
      <c r="C33" s="98" t="s">
        <v>40</v>
      </c>
      <c r="D33" s="102" t="s">
        <v>107</v>
      </c>
      <c r="E33" s="102" t="s">
        <v>108</v>
      </c>
    </row>
    <row r="34" spans="1:5" x14ac:dyDescent="0.3">
      <c r="A34" s="119"/>
      <c r="B34" s="148"/>
      <c r="C34" s="103">
        <v>166004</v>
      </c>
      <c r="D34" s="101">
        <v>117941</v>
      </c>
      <c r="E34" s="101">
        <v>209035</v>
      </c>
    </row>
    <row r="35" spans="1:5" x14ac:dyDescent="0.3">
      <c r="A35" s="47"/>
      <c r="B35" s="38">
        <v>2018</v>
      </c>
      <c r="C35" s="103">
        <v>172727</v>
      </c>
      <c r="D35" s="101">
        <v>136363</v>
      </c>
      <c r="E35" s="101">
        <v>210783</v>
      </c>
    </row>
    <row r="36" spans="1:5" x14ac:dyDescent="0.3">
      <c r="A36" s="47"/>
      <c r="B36" s="38">
        <v>2019</v>
      </c>
      <c r="C36" s="109">
        <v>182673</v>
      </c>
      <c r="D36" s="100">
        <v>145198</v>
      </c>
      <c r="E36" s="100">
        <v>222510</v>
      </c>
    </row>
    <row r="37" spans="1:5" x14ac:dyDescent="0.3">
      <c r="A37" s="47"/>
      <c r="B37" s="38">
        <v>2020</v>
      </c>
      <c r="C37" s="109">
        <v>189716</v>
      </c>
      <c r="D37" s="100">
        <v>150306</v>
      </c>
      <c r="E37" s="100">
        <v>231520</v>
      </c>
    </row>
    <row r="38" spans="1:5" x14ac:dyDescent="0.3">
      <c r="A38" s="47"/>
      <c r="B38" s="38">
        <v>2021</v>
      </c>
      <c r="C38" s="109">
        <v>204048</v>
      </c>
      <c r="D38" s="100">
        <v>161421</v>
      </c>
      <c r="E38" s="100">
        <v>250186</v>
      </c>
    </row>
    <row r="39" spans="1:5" x14ac:dyDescent="0.3">
      <c r="A39" s="47"/>
      <c r="B39" s="38">
        <v>2022</v>
      </c>
      <c r="C39" s="103">
        <v>235576</v>
      </c>
      <c r="D39" s="100">
        <v>179882</v>
      </c>
      <c r="E39" s="100">
        <v>295778</v>
      </c>
    </row>
    <row r="40" spans="1:5" x14ac:dyDescent="0.3">
      <c r="A40" s="47"/>
      <c r="B40" s="38">
        <v>2023</v>
      </c>
      <c r="C40" s="103">
        <v>269994</v>
      </c>
      <c r="D40" s="100">
        <v>202524</v>
      </c>
      <c r="E40" s="100">
        <v>341388</v>
      </c>
    </row>
    <row r="41" spans="1:5" x14ac:dyDescent="0.3">
      <c r="A41" s="47"/>
      <c r="B41" s="38">
        <v>2024</v>
      </c>
      <c r="C41" s="103">
        <v>287172</v>
      </c>
      <c r="D41" s="100">
        <v>219180</v>
      </c>
      <c r="E41" s="100">
        <v>359120</v>
      </c>
    </row>
    <row r="42" spans="1:5" x14ac:dyDescent="0.3">
      <c r="A42" s="47"/>
      <c r="B42" s="38">
        <v>2025</v>
      </c>
      <c r="C42" s="103">
        <v>303140</v>
      </c>
      <c r="D42" s="100">
        <v>231740</v>
      </c>
      <c r="E42" s="100">
        <v>378122</v>
      </c>
    </row>
    <row r="45" spans="1:5" s="32" customFormat="1" ht="22.5" customHeight="1" x14ac:dyDescent="0.3">
      <c r="A45" s="48">
        <v>1</v>
      </c>
      <c r="B45" s="82" t="s">
        <v>85</v>
      </c>
      <c r="C45" s="111"/>
      <c r="D45" s="111"/>
      <c r="E45" s="111"/>
    </row>
    <row r="46" spans="1:5" s="32" customFormat="1" ht="75.75" customHeight="1" x14ac:dyDescent="0.3">
      <c r="A46" s="48">
        <v>2</v>
      </c>
      <c r="B46" s="158" t="s">
        <v>86</v>
      </c>
      <c r="C46" s="158"/>
      <c r="D46" s="158"/>
      <c r="E46" s="158"/>
    </row>
    <row r="47" spans="1:5" s="31" customFormat="1" ht="74.25" customHeight="1" x14ac:dyDescent="0.25">
      <c r="A47" s="48">
        <v>3</v>
      </c>
      <c r="B47" s="158" t="s">
        <v>87</v>
      </c>
      <c r="C47" s="158"/>
      <c r="D47" s="158"/>
      <c r="E47" s="158"/>
    </row>
    <row r="48" spans="1:5" x14ac:dyDescent="0.3">
      <c r="B48" s="153"/>
      <c r="C48" s="153"/>
      <c r="D48" s="153"/>
      <c r="E48" s="153"/>
    </row>
    <row r="49" spans="1:5" x14ac:dyDescent="0.3">
      <c r="A49" s="48">
        <v>1</v>
      </c>
      <c r="B49" s="113" t="s">
        <v>82</v>
      </c>
      <c r="C49" s="114"/>
      <c r="D49" s="114"/>
      <c r="E49" s="114"/>
    </row>
    <row r="50" spans="1:5" ht="57.75" customHeight="1" x14ac:dyDescent="0.3">
      <c r="A50" s="48">
        <v>2</v>
      </c>
      <c r="B50" s="157" t="s">
        <v>90</v>
      </c>
      <c r="C50" s="157"/>
      <c r="D50" s="157"/>
      <c r="E50" s="157"/>
    </row>
    <row r="51" spans="1:5" ht="59.25" customHeight="1" x14ac:dyDescent="0.3">
      <c r="A51" s="48">
        <v>3</v>
      </c>
      <c r="B51" s="157" t="s">
        <v>91</v>
      </c>
      <c r="C51" s="157"/>
      <c r="D51" s="157"/>
      <c r="E51" s="157"/>
    </row>
    <row r="52" spans="1:5" x14ac:dyDescent="0.3">
      <c r="B52" s="159"/>
      <c r="C52" s="159"/>
      <c r="D52" s="159"/>
      <c r="E52" s="159"/>
    </row>
    <row r="53" spans="1:5" ht="21" customHeight="1" x14ac:dyDescent="0.3">
      <c r="A53" s="48">
        <v>1</v>
      </c>
      <c r="B53" s="116" t="s">
        <v>83</v>
      </c>
      <c r="C53" s="117"/>
      <c r="D53" s="117"/>
      <c r="E53" s="117"/>
    </row>
    <row r="54" spans="1:5" ht="63.75" customHeight="1" x14ac:dyDescent="0.3">
      <c r="A54" s="48">
        <v>2</v>
      </c>
      <c r="B54" s="157" t="s">
        <v>88</v>
      </c>
      <c r="C54" s="157"/>
      <c r="D54" s="157"/>
      <c r="E54" s="157"/>
    </row>
    <row r="55" spans="1:5" ht="74.25" customHeight="1" x14ac:dyDescent="0.3">
      <c r="A55" s="48">
        <v>3</v>
      </c>
      <c r="B55" s="157" t="s">
        <v>89</v>
      </c>
      <c r="C55" s="157"/>
      <c r="D55" s="157"/>
      <c r="E55" s="157"/>
    </row>
    <row r="56" spans="1:5" x14ac:dyDescent="0.3">
      <c r="B56" s="30"/>
      <c r="C56" s="30"/>
      <c r="D56" s="30"/>
      <c r="E56" s="30"/>
    </row>
  </sheetData>
  <mergeCells count="19">
    <mergeCell ref="B10:E10"/>
    <mergeCell ref="A1:E1"/>
    <mergeCell ref="A2:E2"/>
    <mergeCell ref="A3:E3"/>
    <mergeCell ref="A4:A10"/>
    <mergeCell ref="B4:E9"/>
    <mergeCell ref="B55:E55"/>
    <mergeCell ref="A27:A28"/>
    <mergeCell ref="B27:B28"/>
    <mergeCell ref="A33:A34"/>
    <mergeCell ref="B33:B34"/>
    <mergeCell ref="B46:E46"/>
    <mergeCell ref="B47:E47"/>
    <mergeCell ref="B52:E52"/>
    <mergeCell ref="C14:E14"/>
    <mergeCell ref="B48:E48"/>
    <mergeCell ref="B50:E50"/>
    <mergeCell ref="B51:E51"/>
    <mergeCell ref="B54:E54"/>
  </mergeCells>
  <hyperlinks>
    <hyperlink ref="B27" location="_ftn1" display="_ftn1" xr:uid="{DA86FDB3-4713-4CF6-977B-BE3D3EA1F7BD}"/>
    <hyperlink ref="B45" location="_ftnref1" display="_ftnref1" xr:uid="{12BDC7AA-C3FC-482A-9137-D0323EF21A16}"/>
    <hyperlink ref="B46" location="_ftnref2" display="_ftnref2" xr:uid="{92C79B41-FB92-485D-9EA5-203357238A4B}"/>
    <hyperlink ref="B47" location="_ftnref2" display="_ftnref2" xr:uid="{FDAF39C5-A9B4-428F-8EAA-5AC5286B75BB}"/>
  </hyperlinks>
  <pageMargins left="0.45" right="0.45" top="0.25" bottom="0.2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3D9B8-5F1D-419C-9671-C94381332EA4}">
  <dimension ref="A1:W23"/>
  <sheetViews>
    <sheetView topLeftCell="J1" zoomScale="93" zoomScaleNormal="93" workbookViewId="0">
      <selection activeCell="R2" sqref="R2:U10"/>
    </sheetView>
  </sheetViews>
  <sheetFormatPr defaultColWidth="8.85546875" defaultRowHeight="16.5" x14ac:dyDescent="0.3"/>
  <cols>
    <col min="1" max="1" width="10.28515625" style="2" hidden="1" customWidth="1"/>
    <col min="2" max="2" width="24.7109375" style="10" hidden="1" customWidth="1"/>
    <col min="3" max="3" width="13.140625" style="10" hidden="1" customWidth="1"/>
    <col min="4" max="4" width="21.7109375" style="10" hidden="1" customWidth="1"/>
    <col min="5" max="5" width="19.28515625" style="10" hidden="1" customWidth="1"/>
    <col min="6" max="6" width="15.7109375" style="10" hidden="1" customWidth="1"/>
    <col min="7" max="8" width="16.28515625" style="10" hidden="1" customWidth="1"/>
    <col min="9" max="9" width="8.85546875" style="10" hidden="1" customWidth="1"/>
    <col min="10" max="10" width="22.85546875" style="10" customWidth="1"/>
    <col min="11" max="11" width="13.140625" style="10" customWidth="1"/>
    <col min="12" max="12" width="16.7109375" style="10" customWidth="1"/>
    <col min="13" max="13" width="14.7109375" style="10" customWidth="1"/>
    <col min="14" max="14" width="12.140625" style="10" customWidth="1"/>
    <col min="15" max="15" width="12.5703125" style="10" customWidth="1"/>
    <col min="16" max="16" width="16.28515625" style="10" customWidth="1"/>
    <col min="17" max="17" width="8.85546875" style="10"/>
    <col min="18" max="18" width="10" style="10" customWidth="1"/>
    <col min="19" max="19" width="24.28515625" style="10" customWidth="1"/>
    <col min="20" max="20" width="16.28515625" style="10" customWidth="1"/>
    <col min="21" max="21" width="15.5703125" style="10" customWidth="1"/>
    <col min="22" max="22" width="8.85546875" style="10"/>
    <col min="23" max="23" width="15.28515625" style="10" customWidth="1"/>
    <col min="24" max="16384" width="8.85546875" style="10"/>
  </cols>
  <sheetData>
    <row r="1" spans="1:21" ht="48" customHeight="1" thickBot="1" x14ac:dyDescent="0.35">
      <c r="A1" s="1"/>
      <c r="B1" s="172" t="s">
        <v>13</v>
      </c>
      <c r="C1" s="173"/>
      <c r="D1" s="173"/>
      <c r="E1" s="173"/>
      <c r="F1" s="173"/>
      <c r="J1" s="172" t="s">
        <v>46</v>
      </c>
      <c r="K1" s="173"/>
      <c r="L1" s="173"/>
      <c r="M1" s="173"/>
      <c r="N1" s="173"/>
    </row>
    <row r="2" spans="1:21" ht="15.6" customHeight="1" x14ac:dyDescent="0.3">
      <c r="A2" s="4"/>
      <c r="B2" s="182"/>
      <c r="C2" s="174" t="s">
        <v>0</v>
      </c>
      <c r="D2" s="176" t="s">
        <v>9</v>
      </c>
      <c r="E2" s="177"/>
      <c r="F2" s="177"/>
      <c r="J2" s="182"/>
      <c r="K2" s="184" t="s">
        <v>0</v>
      </c>
      <c r="L2" s="177" t="s">
        <v>9</v>
      </c>
      <c r="M2" s="177"/>
      <c r="N2" s="177"/>
      <c r="R2" s="184" t="s">
        <v>0</v>
      </c>
      <c r="S2" s="177" t="s">
        <v>9</v>
      </c>
      <c r="T2" s="177"/>
      <c r="U2" s="177"/>
    </row>
    <row r="3" spans="1:21" ht="15.6" customHeight="1" thickBot="1" x14ac:dyDescent="0.35">
      <c r="A3" s="13"/>
      <c r="B3" s="183"/>
      <c r="C3" s="175"/>
      <c r="D3" s="178"/>
      <c r="E3" s="179"/>
      <c r="F3" s="179"/>
      <c r="J3" s="183"/>
      <c r="K3" s="185"/>
      <c r="L3" s="186"/>
      <c r="M3" s="186"/>
      <c r="N3" s="186"/>
      <c r="R3" s="185"/>
      <c r="S3" s="186"/>
      <c r="T3" s="186"/>
      <c r="U3" s="186"/>
    </row>
    <row r="4" spans="1:21" ht="27.75" customHeight="1" thickBot="1" x14ac:dyDescent="0.35">
      <c r="A4" s="7"/>
      <c r="B4" s="183"/>
      <c r="C4" s="175"/>
      <c r="D4" s="8" t="s">
        <v>10</v>
      </c>
      <c r="E4" s="8" t="s">
        <v>11</v>
      </c>
      <c r="F4" s="8" t="s">
        <v>12</v>
      </c>
      <c r="J4" s="183"/>
      <c r="K4" s="185"/>
      <c r="L4" s="43" t="s">
        <v>47</v>
      </c>
      <c r="M4" s="43" t="s">
        <v>11</v>
      </c>
      <c r="N4" s="43" t="s">
        <v>12</v>
      </c>
      <c r="R4" s="185"/>
      <c r="S4" s="43" t="s">
        <v>47</v>
      </c>
      <c r="T4" s="43" t="s">
        <v>11</v>
      </c>
      <c r="U4" s="43" t="s">
        <v>12</v>
      </c>
    </row>
    <row r="5" spans="1:21" s="1" customFormat="1" ht="21" customHeight="1" x14ac:dyDescent="0.25">
      <c r="A5" s="13"/>
      <c r="B5" s="5"/>
      <c r="C5" s="180" t="s">
        <v>3</v>
      </c>
      <c r="D5" s="181"/>
      <c r="E5" s="181"/>
      <c r="F5" s="181"/>
      <c r="J5" s="5"/>
      <c r="K5" s="187" t="s">
        <v>3</v>
      </c>
      <c r="L5" s="188"/>
      <c r="M5" s="188"/>
      <c r="N5" s="188"/>
      <c r="R5" s="187" t="s">
        <v>22</v>
      </c>
      <c r="S5" s="188"/>
      <c r="T5" s="188"/>
      <c r="U5" s="188"/>
    </row>
    <row r="6" spans="1:21" ht="29.25" customHeight="1" x14ac:dyDescent="0.3">
      <c r="A6" s="14"/>
      <c r="B6" s="20" t="s">
        <v>0</v>
      </c>
      <c r="C6" s="27">
        <v>236742</v>
      </c>
      <c r="D6" s="27">
        <v>237932</v>
      </c>
      <c r="E6" s="27">
        <v>251655</v>
      </c>
      <c r="F6" s="27">
        <v>166956</v>
      </c>
      <c r="J6" s="44" t="s">
        <v>0</v>
      </c>
      <c r="K6" s="45">
        <v>261480</v>
      </c>
      <c r="L6" s="45">
        <v>251626</v>
      </c>
      <c r="M6" s="45">
        <v>272900</v>
      </c>
      <c r="N6" s="45">
        <v>175600</v>
      </c>
      <c r="R6" s="28">
        <f>K6/C6*100</f>
        <v>110.44934992523507</v>
      </c>
      <c r="S6" s="28">
        <f>L6/D6*100</f>
        <v>105.75542592001077</v>
      </c>
      <c r="T6" s="28">
        <f>M6/E6*100</f>
        <v>108.44211321054618</v>
      </c>
      <c r="U6" s="28">
        <f>N6/F6*100</f>
        <v>105.17741201274586</v>
      </c>
    </row>
    <row r="7" spans="1:21" s="1" customFormat="1" ht="33.75" customHeight="1" x14ac:dyDescent="0.25">
      <c r="A7" s="13"/>
      <c r="B7" s="5" t="s">
        <v>14</v>
      </c>
      <c r="C7" s="6"/>
      <c r="D7" s="6"/>
      <c r="E7" s="6"/>
      <c r="F7" s="6"/>
      <c r="J7" s="5" t="s">
        <v>45</v>
      </c>
      <c r="K7" s="6"/>
      <c r="L7" s="6"/>
      <c r="M7" s="6"/>
      <c r="N7" s="6"/>
      <c r="R7" s="6"/>
      <c r="S7" s="6"/>
      <c r="T7" s="6"/>
      <c r="U7" s="6"/>
    </row>
    <row r="8" spans="1:21" ht="19.149999999999999" customHeight="1" x14ac:dyDescent="0.3">
      <c r="A8" s="14"/>
      <c r="B8" s="19" t="s">
        <v>6</v>
      </c>
      <c r="C8" s="11">
        <v>122590</v>
      </c>
      <c r="D8" s="11">
        <v>113907</v>
      </c>
      <c r="E8" s="11">
        <v>128813</v>
      </c>
      <c r="F8" s="11">
        <v>102122</v>
      </c>
      <c r="J8" s="19" t="s">
        <v>6</v>
      </c>
      <c r="K8" s="11">
        <v>128836</v>
      </c>
      <c r="L8" s="11">
        <v>118823</v>
      </c>
      <c r="M8" s="11">
        <v>133039</v>
      </c>
      <c r="N8" s="11">
        <v>104627</v>
      </c>
      <c r="R8" s="29">
        <f t="shared" ref="R8:U10" si="0">K8/C8*100</f>
        <v>105.09503222122522</v>
      </c>
      <c r="S8" s="29">
        <f t="shared" si="0"/>
        <v>104.31580148717813</v>
      </c>
      <c r="T8" s="29">
        <f t="shared" si="0"/>
        <v>103.28072477156809</v>
      </c>
      <c r="U8" s="29">
        <f t="shared" si="0"/>
        <v>102.45294843422572</v>
      </c>
    </row>
    <row r="9" spans="1:21" ht="19.149999999999999" customHeight="1" x14ac:dyDescent="0.3">
      <c r="A9" s="14"/>
      <c r="B9" s="19" t="s">
        <v>7</v>
      </c>
      <c r="C9" s="11">
        <v>193511</v>
      </c>
      <c r="D9" s="11">
        <v>212344</v>
      </c>
      <c r="E9" s="11">
        <v>202933</v>
      </c>
      <c r="F9" s="11">
        <v>131295</v>
      </c>
      <c r="J9" s="19" t="s">
        <v>7</v>
      </c>
      <c r="K9" s="11">
        <v>220714</v>
      </c>
      <c r="L9" s="11">
        <v>226232</v>
      </c>
      <c r="M9" s="11">
        <v>227418</v>
      </c>
      <c r="N9" s="11">
        <v>140738</v>
      </c>
      <c r="R9" s="29">
        <f t="shared" si="0"/>
        <v>114.05759879283349</v>
      </c>
      <c r="S9" s="29">
        <f t="shared" si="0"/>
        <v>106.54033078401083</v>
      </c>
      <c r="T9" s="29">
        <f t="shared" si="0"/>
        <v>112.06555858337481</v>
      </c>
      <c r="U9" s="29">
        <f t="shared" si="0"/>
        <v>107.19220076926005</v>
      </c>
    </row>
    <row r="10" spans="1:21" ht="19.149999999999999" customHeight="1" x14ac:dyDescent="0.3">
      <c r="A10" s="14"/>
      <c r="B10" s="19" t="s">
        <v>8</v>
      </c>
      <c r="C10" s="11">
        <v>293472</v>
      </c>
      <c r="D10" s="11">
        <v>295323</v>
      </c>
      <c r="E10" s="11">
        <v>314531</v>
      </c>
      <c r="F10" s="11">
        <v>198181</v>
      </c>
      <c r="J10" s="19" t="s">
        <v>8</v>
      </c>
      <c r="K10" s="11">
        <v>324434</v>
      </c>
      <c r="L10" s="11">
        <v>311312</v>
      </c>
      <c r="M10" s="11">
        <v>341364</v>
      </c>
      <c r="N10" s="11">
        <v>208338</v>
      </c>
      <c r="R10" s="29">
        <f t="shared" si="0"/>
        <v>110.55023988659907</v>
      </c>
      <c r="S10" s="29">
        <f t="shared" si="0"/>
        <v>105.41407204992498</v>
      </c>
      <c r="T10" s="29">
        <f t="shared" si="0"/>
        <v>108.53111458012089</v>
      </c>
      <c r="U10" s="29">
        <f t="shared" si="0"/>
        <v>105.12511290184226</v>
      </c>
    </row>
    <row r="11" spans="1:21" s="1" customFormat="1" ht="21" customHeight="1" x14ac:dyDescent="0.25">
      <c r="A11" s="13"/>
      <c r="B11" s="5"/>
      <c r="C11" s="180" t="s">
        <v>3</v>
      </c>
      <c r="D11" s="181"/>
      <c r="E11" s="181"/>
      <c r="F11" s="181"/>
      <c r="J11" s="5"/>
      <c r="K11" s="187" t="s">
        <v>22</v>
      </c>
      <c r="L11" s="188"/>
      <c r="M11" s="188"/>
      <c r="N11" s="188"/>
      <c r="R11" s="187"/>
      <c r="S11" s="188"/>
      <c r="T11" s="188"/>
      <c r="U11" s="188"/>
    </row>
    <row r="12" spans="1:21" x14ac:dyDescent="0.3">
      <c r="A12" s="22"/>
      <c r="B12" s="16"/>
      <c r="C12" s="16"/>
      <c r="D12" s="16"/>
      <c r="E12" s="16"/>
      <c r="F12" s="16"/>
      <c r="J12" s="16"/>
      <c r="K12" s="16"/>
      <c r="L12" s="16"/>
      <c r="M12" s="16"/>
      <c r="N12" s="16"/>
    </row>
    <row r="13" spans="1:21" x14ac:dyDescent="0.3">
      <c r="A13" s="22"/>
      <c r="B13" s="23"/>
      <c r="J13" s="23"/>
    </row>
    <row r="14" spans="1:21" ht="39" customHeight="1" x14ac:dyDescent="0.3">
      <c r="A14" s="21"/>
      <c r="B14" s="172" t="s">
        <v>20</v>
      </c>
      <c r="C14" s="172"/>
      <c r="D14" s="172"/>
      <c r="E14" s="172"/>
      <c r="F14" s="172"/>
      <c r="G14" s="172"/>
      <c r="H14" s="172"/>
      <c r="J14" s="172" t="s">
        <v>20</v>
      </c>
      <c r="K14" s="172"/>
      <c r="L14" s="172"/>
      <c r="M14" s="172"/>
      <c r="N14" s="172"/>
      <c r="O14" s="172"/>
      <c r="P14" s="172"/>
    </row>
    <row r="15" spans="1:21" ht="20.25" x14ac:dyDescent="0.3">
      <c r="B15" s="171" t="s">
        <v>21</v>
      </c>
      <c r="C15" s="171"/>
      <c r="D15" s="171"/>
      <c r="E15" s="171"/>
      <c r="F15" s="171"/>
      <c r="G15" s="171"/>
      <c r="H15" s="171"/>
      <c r="J15" s="171" t="s">
        <v>44</v>
      </c>
      <c r="K15" s="171"/>
      <c r="L15" s="171"/>
      <c r="M15" s="171"/>
      <c r="N15" s="171"/>
      <c r="O15" s="171"/>
      <c r="P15" s="171"/>
    </row>
    <row r="16" spans="1:21" ht="17.25" thickBot="1" x14ac:dyDescent="0.35">
      <c r="B16" s="15"/>
      <c r="C16" s="15"/>
      <c r="D16" s="15"/>
      <c r="E16" s="15"/>
      <c r="F16" s="15"/>
      <c r="G16" s="15"/>
      <c r="H16" s="15"/>
      <c r="J16" s="15"/>
      <c r="K16" s="15"/>
      <c r="L16" s="15"/>
      <c r="M16" s="15"/>
      <c r="N16" s="15"/>
      <c r="O16" s="15"/>
      <c r="P16" s="15"/>
    </row>
    <row r="17" spans="1:23" ht="42" customHeight="1" thickBot="1" x14ac:dyDescent="0.35">
      <c r="B17" s="164"/>
      <c r="C17" s="169" t="s">
        <v>0</v>
      </c>
      <c r="D17" s="166" t="s">
        <v>18</v>
      </c>
      <c r="E17" s="167"/>
      <c r="F17" s="168" t="s">
        <v>19</v>
      </c>
      <c r="G17" s="166"/>
      <c r="H17" s="166"/>
      <c r="J17" s="164"/>
      <c r="K17" s="169" t="s">
        <v>0</v>
      </c>
      <c r="L17" s="166" t="s">
        <v>18</v>
      </c>
      <c r="M17" s="167"/>
      <c r="N17" s="168" t="s">
        <v>19</v>
      </c>
      <c r="O17" s="166"/>
      <c r="P17" s="166"/>
      <c r="R17" s="169" t="s">
        <v>0</v>
      </c>
      <c r="S17" s="166" t="s">
        <v>18</v>
      </c>
      <c r="T17" s="167"/>
      <c r="U17" s="168" t="s">
        <v>19</v>
      </c>
      <c r="V17" s="166"/>
      <c r="W17" s="166"/>
    </row>
    <row r="18" spans="1:23" ht="30.6" customHeight="1" thickBot="1" x14ac:dyDescent="0.35">
      <c r="B18" s="165"/>
      <c r="C18" s="170"/>
      <c r="D18" s="3" t="s">
        <v>2</v>
      </c>
      <c r="E18" s="17" t="s">
        <v>15</v>
      </c>
      <c r="F18" s="3" t="s">
        <v>6</v>
      </c>
      <c r="G18" s="3" t="s">
        <v>7</v>
      </c>
      <c r="H18" s="3" t="s">
        <v>8</v>
      </c>
      <c r="J18" s="165"/>
      <c r="K18" s="170"/>
      <c r="L18" s="3" t="s">
        <v>2</v>
      </c>
      <c r="M18" s="17" t="s">
        <v>15</v>
      </c>
      <c r="N18" s="3" t="s">
        <v>6</v>
      </c>
      <c r="O18" s="3" t="s">
        <v>7</v>
      </c>
      <c r="P18" s="3" t="s">
        <v>8</v>
      </c>
      <c r="R18" s="170"/>
      <c r="S18" s="3" t="s">
        <v>2</v>
      </c>
      <c r="T18" s="17" t="s">
        <v>15</v>
      </c>
      <c r="U18" s="3" t="s">
        <v>6</v>
      </c>
      <c r="V18" s="3" t="s">
        <v>7</v>
      </c>
      <c r="W18" s="3" t="s">
        <v>8</v>
      </c>
    </row>
    <row r="19" spans="1:23" ht="20.45" customHeight="1" x14ac:dyDescent="0.3">
      <c r="B19" s="162" t="s">
        <v>3</v>
      </c>
      <c r="C19" s="163"/>
      <c r="D19" s="163"/>
      <c r="E19" s="163"/>
      <c r="F19" s="163"/>
      <c r="G19" s="163"/>
      <c r="H19" s="163"/>
      <c r="J19" s="162" t="s">
        <v>3</v>
      </c>
      <c r="K19" s="163"/>
      <c r="L19" s="163"/>
      <c r="M19" s="163"/>
      <c r="N19" s="163"/>
      <c r="O19" s="163"/>
      <c r="P19" s="163"/>
      <c r="R19" s="180" t="s">
        <v>22</v>
      </c>
      <c r="S19" s="180"/>
      <c r="T19" s="180"/>
      <c r="U19" s="180"/>
      <c r="V19" s="180"/>
      <c r="W19" s="180"/>
    </row>
    <row r="20" spans="1:23" s="1" customFormat="1" ht="22.15" customHeight="1" x14ac:dyDescent="0.25">
      <c r="A20" s="18"/>
      <c r="B20" s="24" t="s">
        <v>1</v>
      </c>
      <c r="C20" s="6"/>
      <c r="D20" s="6"/>
      <c r="E20" s="6"/>
      <c r="F20" s="6"/>
      <c r="G20" s="6"/>
      <c r="H20" s="6"/>
      <c r="J20" s="24" t="s">
        <v>1</v>
      </c>
      <c r="K20" s="6"/>
      <c r="L20" s="6"/>
      <c r="M20" s="6"/>
      <c r="N20" s="6"/>
      <c r="O20" s="6"/>
      <c r="P20" s="6"/>
      <c r="R20" s="180"/>
      <c r="S20" s="180"/>
      <c r="T20" s="180"/>
      <c r="U20" s="180"/>
      <c r="V20" s="180"/>
      <c r="W20" s="180"/>
    </row>
    <row r="21" spans="1:23" ht="28.15" customHeight="1" x14ac:dyDescent="0.3">
      <c r="B21" s="25" t="s">
        <v>0</v>
      </c>
      <c r="C21" s="27">
        <v>236742</v>
      </c>
      <c r="D21" s="27">
        <v>178597</v>
      </c>
      <c r="E21" s="27">
        <v>261774</v>
      </c>
      <c r="F21" s="27">
        <v>122590</v>
      </c>
      <c r="G21" s="27">
        <v>193511</v>
      </c>
      <c r="H21" s="27">
        <v>293472</v>
      </c>
      <c r="J21" s="25" t="s">
        <v>0</v>
      </c>
      <c r="K21" s="27">
        <v>261480</v>
      </c>
      <c r="L21" s="27">
        <v>204030</v>
      </c>
      <c r="M21" s="27">
        <v>284627</v>
      </c>
      <c r="N21" s="27">
        <v>128836</v>
      </c>
      <c r="O21" s="27">
        <v>220714</v>
      </c>
      <c r="P21" s="27">
        <v>324434</v>
      </c>
      <c r="R21" s="28">
        <f t="shared" ref="R21:W23" si="1">K21/C21*100</f>
        <v>110.44934992523507</v>
      </c>
      <c r="S21" s="28">
        <f t="shared" si="1"/>
        <v>114.2404407688819</v>
      </c>
      <c r="T21" s="28">
        <f t="shared" si="1"/>
        <v>108.73004958475632</v>
      </c>
      <c r="U21" s="28">
        <f t="shared" si="1"/>
        <v>105.09503222122522</v>
      </c>
      <c r="V21" s="28">
        <f t="shared" si="1"/>
        <v>114.05759879283349</v>
      </c>
      <c r="W21" s="28">
        <f t="shared" si="1"/>
        <v>110.55023988659907</v>
      </c>
    </row>
    <row r="22" spans="1:23" ht="28.15" customHeight="1" x14ac:dyDescent="0.3">
      <c r="B22" s="26" t="s">
        <v>16</v>
      </c>
      <c r="C22" s="11">
        <v>300240</v>
      </c>
      <c r="D22" s="11">
        <v>231702</v>
      </c>
      <c r="E22" s="11">
        <v>317991</v>
      </c>
      <c r="F22" s="11">
        <v>146094</v>
      </c>
      <c r="G22" s="11">
        <v>258767</v>
      </c>
      <c r="H22" s="11">
        <v>370304</v>
      </c>
      <c r="J22" s="26" t="s">
        <v>16</v>
      </c>
      <c r="K22" s="11">
        <v>328857</v>
      </c>
      <c r="L22" s="11">
        <v>265026</v>
      </c>
      <c r="M22" s="11">
        <v>344211</v>
      </c>
      <c r="N22" s="11">
        <v>150559</v>
      </c>
      <c r="O22" s="11">
        <v>292459</v>
      </c>
      <c r="P22" s="11">
        <v>407871</v>
      </c>
      <c r="R22" s="29">
        <f t="shared" si="1"/>
        <v>109.53137490007994</v>
      </c>
      <c r="S22" s="29">
        <f t="shared" si="1"/>
        <v>114.38226687728204</v>
      </c>
      <c r="T22" s="29">
        <f t="shared" si="1"/>
        <v>108.24551638253912</v>
      </c>
      <c r="U22" s="29">
        <f t="shared" si="1"/>
        <v>103.05625145454296</v>
      </c>
      <c r="V22" s="29">
        <f t="shared" si="1"/>
        <v>113.02020736801835</v>
      </c>
      <c r="W22" s="29">
        <f t="shared" si="1"/>
        <v>110.14490796750778</v>
      </c>
    </row>
    <row r="23" spans="1:23" ht="28.15" customHeight="1" x14ac:dyDescent="0.3">
      <c r="B23" s="26" t="s">
        <v>17</v>
      </c>
      <c r="C23" s="11">
        <v>178148</v>
      </c>
      <c r="D23" s="11">
        <v>152671</v>
      </c>
      <c r="E23" s="11">
        <v>194356</v>
      </c>
      <c r="F23" s="11">
        <v>98294</v>
      </c>
      <c r="G23" s="11">
        <v>141789</v>
      </c>
      <c r="H23" s="11">
        <v>220661</v>
      </c>
      <c r="J23" s="26" t="s">
        <v>17</v>
      </c>
      <c r="K23" s="11">
        <v>197775</v>
      </c>
      <c r="L23" s="11">
        <v>174244</v>
      </c>
      <c r="M23" s="11">
        <v>211919</v>
      </c>
      <c r="N23" s="11">
        <v>105433</v>
      </c>
      <c r="O23" s="11">
        <v>162011</v>
      </c>
      <c r="P23" s="11">
        <v>244204</v>
      </c>
      <c r="R23" s="29">
        <f t="shared" si="1"/>
        <v>111.01724408918427</v>
      </c>
      <c r="S23" s="29">
        <f t="shared" si="1"/>
        <v>114.13038494540548</v>
      </c>
      <c r="T23" s="29">
        <f t="shared" si="1"/>
        <v>109.03651032126614</v>
      </c>
      <c r="U23" s="29">
        <f t="shared" si="1"/>
        <v>107.26290516206483</v>
      </c>
      <c r="V23" s="29">
        <f t="shared" si="1"/>
        <v>114.26203725253723</v>
      </c>
      <c r="W23" s="29">
        <f t="shared" si="1"/>
        <v>110.66930721785906</v>
      </c>
    </row>
  </sheetData>
  <mergeCells count="34">
    <mergeCell ref="R19:W20"/>
    <mergeCell ref="J19:P19"/>
    <mergeCell ref="R2:R4"/>
    <mergeCell ref="S2:U3"/>
    <mergeCell ref="R5:U5"/>
    <mergeCell ref="R17:R18"/>
    <mergeCell ref="K5:N5"/>
    <mergeCell ref="J14:P14"/>
    <mergeCell ref="J15:P15"/>
    <mergeCell ref="J17:J18"/>
    <mergeCell ref="K17:K18"/>
    <mergeCell ref="L17:M17"/>
    <mergeCell ref="N17:P17"/>
    <mergeCell ref="K11:N11"/>
    <mergeCell ref="R11:U11"/>
    <mergeCell ref="S17:T17"/>
    <mergeCell ref="U17:W17"/>
    <mergeCell ref="J1:N1"/>
    <mergeCell ref="J2:J4"/>
    <mergeCell ref="K2:K4"/>
    <mergeCell ref="L2:N3"/>
    <mergeCell ref="B15:H15"/>
    <mergeCell ref="B1:F1"/>
    <mergeCell ref="C2:C4"/>
    <mergeCell ref="D2:F3"/>
    <mergeCell ref="C5:F5"/>
    <mergeCell ref="B2:B4"/>
    <mergeCell ref="B14:H14"/>
    <mergeCell ref="C11:F11"/>
    <mergeCell ref="B19:H19"/>
    <mergeCell ref="B17:B18"/>
    <mergeCell ref="D17:E17"/>
    <mergeCell ref="F17:H17"/>
    <mergeCell ref="C17:C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1980-2025</vt:lpstr>
      <vt:lpstr>AMD_USD_EUR_RR</vt:lpstr>
      <vt:lpstr>Public No pub</vt:lpstr>
      <vt:lpstr>Women , Men</vt:lpstr>
      <vt:lpstr>ըստ կազմ. չափի</vt:lpstr>
      <vt:lpstr>'1980-2025'!_ftnref2</vt:lpstr>
      <vt:lpstr>'ըստ կազմ. չափի'!_Hlk90385614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Gohar Margaryan</cp:lastModifiedBy>
  <cp:lastPrinted>2026-07-29T07:58:43Z</cp:lastPrinted>
  <dcterms:created xsi:type="dcterms:W3CDTF">2015-06-05T18:17:20Z</dcterms:created>
  <dcterms:modified xsi:type="dcterms:W3CDTF">2026-07-29T07:58:52Z</dcterms:modified>
</cp:coreProperties>
</file>